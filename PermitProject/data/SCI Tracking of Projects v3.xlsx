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updateLinks="always"/>
  <mc:AlternateContent xmlns:mc="http://schemas.openxmlformats.org/markup-compatibility/2006">
    <mc:Choice Requires="x15">
      <x15ac:absPath xmlns:x15ac="http://schemas.microsoft.com/office/spreadsheetml/2010/11/ac" url="https://sciroof-my.sharepoint.com/personal/eli_sciroof_com/Documents/"/>
    </mc:Choice>
  </mc:AlternateContent>
  <xr:revisionPtr revIDLastSave="0" documentId="8_{40F23222-05A0-4973-A363-5DB80C029333}" xr6:coauthVersionLast="47" xr6:coauthVersionMax="47" xr10:uidLastSave="{00000000-0000-0000-0000-000000000000}"/>
  <bookViews>
    <workbookView xWindow="-120" yWindow="-120" windowWidth="29040" windowHeight="15840" firstSheet="4" activeTab="4" xr2:uid="{DEF2B59E-3F09-4AC6-917F-F760DC2B2C29}"/>
  </bookViews>
  <sheets>
    <sheet name="Summary" sheetId="2" r:id="rId1"/>
    <sheet name="Commercial" sheetId="12" r:id="rId2"/>
    <sheet name="Residential" sheetId="13" r:id="rId3"/>
    <sheet name="Repairs" sheetId="15" r:id="rId4"/>
    <sheet name="Maintenance" sheetId="18" r:id="rId5"/>
  </sheets>
  <definedNames>
    <definedName name="_xlnm._FilterDatabase" localSheetId="1" hidden="1">Commercial!$A$7:$AH$38</definedName>
    <definedName name="_xlnm._FilterDatabase" localSheetId="4" hidden="1">Maintenance!$A$7:$AE$68</definedName>
    <definedName name="_xlnm._FilterDatabase" localSheetId="2" hidden="1">Residential!$A$7:$AH$74</definedName>
    <definedName name="_xlnm._FilterDatabase" localSheetId="3" hidden="1">Repairs!$A$7:$AI$75</definedName>
    <definedName name="_xlnm.Print_Area" localSheetId="1">Commercial!$A$1:$P$38</definedName>
    <definedName name="_xlnm.Print_Area" localSheetId="4">Maintenance!$A$1:$Q$68</definedName>
    <definedName name="_xlnm.Print_Area" localSheetId="3">Repairs!$A$1:$Q$75</definedName>
    <definedName name="_xlnm.Print_Area" localSheetId="2">Residential!$A$1:$P$74</definedName>
    <definedName name="_xlnm.Print_Area" localSheetId="0">Summary!$A$1:$G$28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0" i="13" l="1"/>
  <c r="N59" i="15"/>
  <c r="O59" i="15"/>
  <c r="P59" i="15"/>
  <c r="O9" i="13"/>
  <c r="M39" i="12"/>
  <c r="L75" i="13"/>
  <c r="N5" i="12"/>
  <c r="O12" i="13"/>
  <c r="N12" i="13"/>
  <c r="M12" i="13"/>
  <c r="M20" i="12"/>
  <c r="K39" i="12"/>
  <c r="L39" i="12"/>
  <c r="F8" i="2" s="1"/>
  <c r="O19" i="12"/>
  <c r="O8" i="15"/>
  <c r="P8" i="15"/>
  <c r="O14" i="12"/>
  <c r="P68" i="18"/>
  <c r="O68" i="18"/>
  <c r="N68" i="18"/>
  <c r="P67" i="18"/>
  <c r="O67" i="18"/>
  <c r="N67" i="18"/>
  <c r="P66" i="18"/>
  <c r="O66" i="18"/>
  <c r="N66" i="18"/>
  <c r="P65" i="18"/>
  <c r="O65" i="18"/>
  <c r="N65" i="18"/>
  <c r="P64" i="18"/>
  <c r="O64" i="18"/>
  <c r="N64" i="18"/>
  <c r="P63" i="18"/>
  <c r="O63" i="18"/>
  <c r="N63" i="18"/>
  <c r="P62" i="18"/>
  <c r="O62" i="18"/>
  <c r="N62" i="18"/>
  <c r="P61" i="18"/>
  <c r="O61" i="18"/>
  <c r="N61" i="18"/>
  <c r="P60" i="18"/>
  <c r="O60" i="18"/>
  <c r="N60" i="18"/>
  <c r="P59" i="18"/>
  <c r="O59" i="18"/>
  <c r="N59" i="18"/>
  <c r="P58" i="18"/>
  <c r="O58" i="18"/>
  <c r="N58" i="18"/>
  <c r="P57" i="18"/>
  <c r="O57" i="18"/>
  <c r="N57" i="18"/>
  <c r="P56" i="18"/>
  <c r="O56" i="18"/>
  <c r="N56" i="18"/>
  <c r="P55" i="18"/>
  <c r="O55" i="18"/>
  <c r="N55" i="18"/>
  <c r="P54" i="18"/>
  <c r="O54" i="18"/>
  <c r="N54" i="18"/>
  <c r="P53" i="18"/>
  <c r="O53" i="18"/>
  <c r="N53" i="18"/>
  <c r="P52" i="18"/>
  <c r="O52" i="18"/>
  <c r="N52" i="18"/>
  <c r="P51" i="18"/>
  <c r="O51" i="18"/>
  <c r="N51" i="18"/>
  <c r="P50" i="18"/>
  <c r="O50" i="18"/>
  <c r="N50" i="18"/>
  <c r="P49" i="18"/>
  <c r="O49" i="18"/>
  <c r="N49" i="18"/>
  <c r="P48" i="18"/>
  <c r="O48" i="18"/>
  <c r="N48" i="18"/>
  <c r="P47" i="18"/>
  <c r="O47" i="18"/>
  <c r="N47" i="18"/>
  <c r="P46" i="18"/>
  <c r="O46" i="18"/>
  <c r="N46" i="18"/>
  <c r="P45" i="18"/>
  <c r="O45" i="18"/>
  <c r="N45" i="18"/>
  <c r="P44" i="18"/>
  <c r="O44" i="18"/>
  <c r="N44" i="18"/>
  <c r="P43" i="18"/>
  <c r="O43" i="18"/>
  <c r="N43" i="18"/>
  <c r="P42" i="18"/>
  <c r="O42" i="18"/>
  <c r="N42" i="18"/>
  <c r="P40" i="18"/>
  <c r="O40" i="18"/>
  <c r="N40" i="18"/>
  <c r="P39" i="18"/>
  <c r="O39" i="18"/>
  <c r="N39" i="18"/>
  <c r="P38" i="18"/>
  <c r="O38" i="18"/>
  <c r="N38" i="18"/>
  <c r="P37" i="18"/>
  <c r="O37" i="18"/>
  <c r="N37" i="18"/>
  <c r="P36" i="18"/>
  <c r="N36" i="18"/>
  <c r="P35" i="18"/>
  <c r="N35" i="18"/>
  <c r="P34" i="18"/>
  <c r="N34" i="18"/>
  <c r="P33" i="18"/>
  <c r="N33" i="18"/>
  <c r="P32" i="18"/>
  <c r="N32" i="18"/>
  <c r="P31" i="18"/>
  <c r="N31" i="18"/>
  <c r="P30" i="18"/>
  <c r="N30" i="18"/>
  <c r="P29" i="18"/>
  <c r="N29" i="18"/>
  <c r="P28" i="18"/>
  <c r="N28" i="18"/>
  <c r="P27" i="18"/>
  <c r="N27" i="18"/>
  <c r="P26" i="18"/>
  <c r="N26" i="18"/>
  <c r="P25" i="18"/>
  <c r="O25" i="18"/>
  <c r="N25" i="18"/>
  <c r="P24" i="18"/>
  <c r="O24" i="18"/>
  <c r="N24" i="18"/>
  <c r="P23" i="18"/>
  <c r="O23" i="18"/>
  <c r="N23" i="18"/>
  <c r="P22" i="18"/>
  <c r="N22" i="18"/>
  <c r="P21" i="18"/>
  <c r="O21" i="18"/>
  <c r="N21" i="18"/>
  <c r="P20" i="18"/>
  <c r="O20" i="18"/>
  <c r="N20" i="18"/>
  <c r="P19" i="18"/>
  <c r="O19" i="18"/>
  <c r="N19" i="18"/>
  <c r="P18" i="18"/>
  <c r="O18" i="18"/>
  <c r="N18" i="18"/>
  <c r="P17" i="18"/>
  <c r="O17" i="18"/>
  <c r="N17" i="18"/>
  <c r="P16" i="18"/>
  <c r="O16" i="18"/>
  <c r="N16" i="18"/>
  <c r="P15" i="18"/>
  <c r="O15" i="18"/>
  <c r="N15" i="18"/>
  <c r="P14" i="18"/>
  <c r="O14" i="18"/>
  <c r="N14" i="18"/>
  <c r="P13" i="18"/>
  <c r="O13" i="18"/>
  <c r="N13" i="18"/>
  <c r="P12" i="18"/>
  <c r="O12" i="18"/>
  <c r="N12" i="18"/>
  <c r="P11" i="18"/>
  <c r="O11" i="18"/>
  <c r="N11" i="18"/>
  <c r="P10" i="18"/>
  <c r="O10" i="18"/>
  <c r="N10" i="18"/>
  <c r="P9" i="18"/>
  <c r="O9" i="18"/>
  <c r="N9" i="18"/>
  <c r="P75" i="15"/>
  <c r="O75" i="15"/>
  <c r="N75" i="15"/>
  <c r="P74" i="15"/>
  <c r="O74" i="15"/>
  <c r="N74" i="15"/>
  <c r="P73" i="15"/>
  <c r="O73" i="15"/>
  <c r="N73" i="15"/>
  <c r="P72" i="15"/>
  <c r="O72" i="15"/>
  <c r="N72" i="15"/>
  <c r="P71" i="15"/>
  <c r="O71" i="15"/>
  <c r="N71" i="15"/>
  <c r="P70" i="15"/>
  <c r="O70" i="15"/>
  <c r="N70" i="15"/>
  <c r="P69" i="15"/>
  <c r="O69" i="15"/>
  <c r="N69" i="15"/>
  <c r="P68" i="15"/>
  <c r="O68" i="15"/>
  <c r="N68" i="15"/>
  <c r="P67" i="15"/>
  <c r="O67" i="15"/>
  <c r="N67" i="15"/>
  <c r="P66" i="15"/>
  <c r="O66" i="15"/>
  <c r="N66" i="15"/>
  <c r="P65" i="15"/>
  <c r="O65" i="15"/>
  <c r="N65" i="15"/>
  <c r="P64" i="15"/>
  <c r="O64" i="15"/>
  <c r="N64" i="15"/>
  <c r="P63" i="15"/>
  <c r="O63" i="15"/>
  <c r="N63" i="15"/>
  <c r="P62" i="15"/>
  <c r="O62" i="15"/>
  <c r="N62" i="15"/>
  <c r="P61" i="15"/>
  <c r="O61" i="15"/>
  <c r="N61" i="15"/>
  <c r="P60" i="15"/>
  <c r="O60" i="15"/>
  <c r="N60" i="15"/>
  <c r="P58" i="15"/>
  <c r="O58" i="15"/>
  <c r="N58" i="15"/>
  <c r="P56" i="15"/>
  <c r="O56" i="15"/>
  <c r="N56" i="15"/>
  <c r="P55" i="15"/>
  <c r="O55" i="15"/>
  <c r="N55" i="15"/>
  <c r="P54" i="15"/>
  <c r="O54" i="15"/>
  <c r="N54" i="15"/>
  <c r="P53" i="15"/>
  <c r="O53" i="15"/>
  <c r="N53" i="15"/>
  <c r="P52" i="15"/>
  <c r="O52" i="15"/>
  <c r="N52" i="15"/>
  <c r="P51" i="15"/>
  <c r="O51" i="15"/>
  <c r="N51" i="15"/>
  <c r="P50" i="15"/>
  <c r="O50" i="15"/>
  <c r="N50" i="15"/>
  <c r="P49" i="15"/>
  <c r="O49" i="15"/>
  <c r="N49" i="15"/>
  <c r="P48" i="15"/>
  <c r="O48" i="15"/>
  <c r="N48" i="15"/>
  <c r="P47" i="15"/>
  <c r="O47" i="15"/>
  <c r="N47" i="15"/>
  <c r="P46" i="15"/>
  <c r="O46" i="15"/>
  <c r="N46" i="15"/>
  <c r="P45" i="15"/>
  <c r="O45" i="15"/>
  <c r="N45" i="15"/>
  <c r="P44" i="15"/>
  <c r="O44" i="15"/>
  <c r="N44" i="15"/>
  <c r="P43" i="15"/>
  <c r="O43" i="15"/>
  <c r="N43" i="15"/>
  <c r="P42" i="15"/>
  <c r="O42" i="15"/>
  <c r="N42" i="15"/>
  <c r="P41" i="15"/>
  <c r="O41" i="15"/>
  <c r="N41" i="15"/>
  <c r="P40" i="15"/>
  <c r="O40" i="15"/>
  <c r="N40" i="15"/>
  <c r="P39" i="15"/>
  <c r="O39" i="15"/>
  <c r="N39" i="15"/>
  <c r="P38" i="15"/>
  <c r="O38" i="15"/>
  <c r="N38" i="15"/>
  <c r="P37" i="15"/>
  <c r="O37" i="15"/>
  <c r="N37" i="15"/>
  <c r="P36" i="15"/>
  <c r="O36" i="15"/>
  <c r="N36" i="15"/>
  <c r="P35" i="15"/>
  <c r="O35" i="15"/>
  <c r="N35" i="15"/>
  <c r="P34" i="15"/>
  <c r="O34" i="15"/>
  <c r="N34" i="15"/>
  <c r="P33" i="15"/>
  <c r="O33" i="15"/>
  <c r="N33" i="15"/>
  <c r="P32" i="15"/>
  <c r="O32" i="15"/>
  <c r="N32" i="15"/>
  <c r="P31" i="15"/>
  <c r="O31" i="15"/>
  <c r="N31" i="15"/>
  <c r="P30" i="15"/>
  <c r="O30" i="15"/>
  <c r="N30" i="15"/>
  <c r="P29" i="15"/>
  <c r="O29" i="15"/>
  <c r="N29" i="15"/>
  <c r="P28" i="15"/>
  <c r="O28" i="15"/>
  <c r="N28" i="15"/>
  <c r="P27" i="15"/>
  <c r="O27" i="15"/>
  <c r="N27" i="15"/>
  <c r="P26" i="15"/>
  <c r="O26" i="15"/>
  <c r="N26" i="15"/>
  <c r="P25" i="15"/>
  <c r="O25" i="15"/>
  <c r="N25" i="15"/>
  <c r="P24" i="15"/>
  <c r="O24" i="15"/>
  <c r="N24" i="15"/>
  <c r="P23" i="15"/>
  <c r="O23" i="15"/>
  <c r="N23" i="15"/>
  <c r="P22" i="15"/>
  <c r="O22" i="15"/>
  <c r="N22" i="15"/>
  <c r="P21" i="15"/>
  <c r="O21" i="15"/>
  <c r="N21" i="15"/>
  <c r="P20" i="15"/>
  <c r="O20" i="15"/>
  <c r="N20" i="15"/>
  <c r="P19" i="15"/>
  <c r="O19" i="15"/>
  <c r="N19" i="15"/>
  <c r="P18" i="15"/>
  <c r="P17" i="15"/>
  <c r="O17" i="15"/>
  <c r="N17" i="15"/>
  <c r="P16" i="15"/>
  <c r="O16" i="15"/>
  <c r="N16" i="15"/>
  <c r="P15" i="15"/>
  <c r="O15" i="15"/>
  <c r="N15" i="15"/>
  <c r="P14" i="15"/>
  <c r="O14" i="15"/>
  <c r="N14" i="15"/>
  <c r="P13" i="15"/>
  <c r="O13" i="15"/>
  <c r="N13" i="15"/>
  <c r="P12" i="15"/>
  <c r="O12" i="15"/>
  <c r="N12" i="15"/>
  <c r="P11" i="15"/>
  <c r="O11" i="15"/>
  <c r="N11" i="15"/>
  <c r="P10" i="15"/>
  <c r="O10" i="15"/>
  <c r="N10" i="15"/>
  <c r="O32" i="13"/>
  <c r="N32" i="13"/>
  <c r="M32" i="13"/>
  <c r="O9" i="12"/>
  <c r="N9" i="12"/>
  <c r="O11" i="13"/>
  <c r="N11" i="13"/>
  <c r="M11" i="13"/>
  <c r="O13" i="13"/>
  <c r="N13" i="13"/>
  <c r="M13" i="13"/>
  <c r="N8" i="12"/>
  <c r="O14" i="13"/>
  <c r="N14" i="13"/>
  <c r="M14" i="13"/>
  <c r="O15" i="13"/>
  <c r="N15" i="13"/>
  <c r="M15" i="13"/>
  <c r="O16" i="13"/>
  <c r="N16" i="13"/>
  <c r="M16" i="13"/>
  <c r="O18" i="13"/>
  <c r="N18" i="13"/>
  <c r="M18" i="13"/>
  <c r="M31" i="13"/>
  <c r="M23" i="13"/>
  <c r="P9" i="15"/>
  <c r="O9" i="15"/>
  <c r="N9" i="15"/>
  <c r="O23" i="12"/>
  <c r="N23" i="12"/>
  <c r="O17" i="13"/>
  <c r="N17" i="13"/>
  <c r="M17" i="13"/>
  <c r="O19" i="13"/>
  <c r="N19" i="13"/>
  <c r="M19" i="13"/>
  <c r="O10" i="12"/>
  <c r="N10" i="12"/>
  <c r="O28" i="12"/>
  <c r="N28" i="12"/>
  <c r="M69" i="18"/>
  <c r="O18" i="12"/>
  <c r="N18" i="12"/>
  <c r="O29" i="12"/>
  <c r="N29" i="12"/>
  <c r="O24" i="12"/>
  <c r="N24" i="12"/>
  <c r="N30" i="12"/>
  <c r="O30" i="12"/>
  <c r="D83" i="12"/>
  <c r="O21" i="13"/>
  <c r="N21" i="13"/>
  <c r="M21" i="13"/>
  <c r="F116" i="18" l="1"/>
  <c r="E24" i="2" s="1"/>
  <c r="E116" i="18"/>
  <c r="D24" i="2" s="1"/>
  <c r="D116" i="18"/>
  <c r="C24" i="2" s="1"/>
  <c r="C116" i="18"/>
  <c r="B24" i="2" s="1"/>
  <c r="F113" i="18"/>
  <c r="E113" i="18"/>
  <c r="D113" i="18"/>
  <c r="C113" i="18"/>
  <c r="I112" i="18"/>
  <c r="H112" i="18"/>
  <c r="F112" i="18"/>
  <c r="E112" i="18"/>
  <c r="D112" i="18"/>
  <c r="C112" i="18"/>
  <c r="F111" i="18"/>
  <c r="E111" i="18"/>
  <c r="D111" i="18"/>
  <c r="C111" i="18"/>
  <c r="F110" i="18"/>
  <c r="E110" i="18"/>
  <c r="D110" i="18"/>
  <c r="C110" i="18"/>
  <c r="F109" i="18"/>
  <c r="F114" i="18" s="1"/>
  <c r="E109" i="18"/>
  <c r="E114" i="18" s="1"/>
  <c r="D109" i="18"/>
  <c r="D114" i="18" s="1"/>
  <c r="C109" i="18"/>
  <c r="C114" i="18" s="1"/>
  <c r="L69" i="18"/>
  <c r="K69" i="18"/>
  <c r="I110" i="18"/>
  <c r="H110" i="18"/>
  <c r="I111" i="18"/>
  <c r="H111" i="18"/>
  <c r="I109" i="18"/>
  <c r="H109" i="18"/>
  <c r="P8" i="18"/>
  <c r="P69" i="18" s="1"/>
  <c r="O8" i="18"/>
  <c r="N8" i="18"/>
  <c r="N69" i="18" s="1"/>
  <c r="P6" i="18"/>
  <c r="L6" i="18"/>
  <c r="C2" i="18"/>
  <c r="K76" i="15"/>
  <c r="L76" i="15"/>
  <c r="M76" i="15"/>
  <c r="F123" i="15"/>
  <c r="E19" i="2" s="1"/>
  <c r="E123" i="15"/>
  <c r="D19" i="2" s="1"/>
  <c r="D123" i="15"/>
  <c r="C19" i="2" s="1"/>
  <c r="C123" i="15"/>
  <c r="B19" i="2" s="1"/>
  <c r="F120" i="15"/>
  <c r="E120" i="15"/>
  <c r="D120" i="15"/>
  <c r="C120" i="15"/>
  <c r="F119" i="15"/>
  <c r="E119" i="15"/>
  <c r="D119" i="15"/>
  <c r="C119" i="15"/>
  <c r="I118" i="15"/>
  <c r="H118" i="15"/>
  <c r="F118" i="15"/>
  <c r="E118" i="15"/>
  <c r="D118" i="15"/>
  <c r="C118" i="15"/>
  <c r="I117" i="15"/>
  <c r="H117" i="15"/>
  <c r="F117" i="15"/>
  <c r="E117" i="15"/>
  <c r="D117" i="15"/>
  <c r="C117" i="15"/>
  <c r="F116" i="15"/>
  <c r="F121" i="15" s="1"/>
  <c r="E116" i="15"/>
  <c r="E121" i="15" s="1"/>
  <c r="D116" i="15"/>
  <c r="D121" i="15" s="1"/>
  <c r="C116" i="15"/>
  <c r="C121" i="15" s="1"/>
  <c r="I116" i="15"/>
  <c r="H116" i="15"/>
  <c r="L6" i="15"/>
  <c r="C2" i="15"/>
  <c r="O47" i="13"/>
  <c r="N47" i="13"/>
  <c r="M47" i="13"/>
  <c r="O46" i="13"/>
  <c r="N46" i="13"/>
  <c r="M46" i="13"/>
  <c r="O45" i="13"/>
  <c r="N45" i="13"/>
  <c r="M45" i="13"/>
  <c r="O44" i="13"/>
  <c r="N44" i="13"/>
  <c r="M44" i="13"/>
  <c r="O43" i="13"/>
  <c r="N43" i="13"/>
  <c r="M43" i="13"/>
  <c r="O42" i="13"/>
  <c r="N42" i="13"/>
  <c r="M42" i="13"/>
  <c r="O41" i="13"/>
  <c r="N41" i="13"/>
  <c r="M41" i="13"/>
  <c r="O40" i="13"/>
  <c r="N40" i="13"/>
  <c r="M40" i="13"/>
  <c r="O39" i="13"/>
  <c r="N39" i="13"/>
  <c r="M39" i="13"/>
  <c r="O38" i="13"/>
  <c r="N38" i="13"/>
  <c r="M38" i="13"/>
  <c r="O37" i="13"/>
  <c r="N37" i="13"/>
  <c r="M37" i="13"/>
  <c r="O36" i="13"/>
  <c r="N36" i="13"/>
  <c r="M36" i="13"/>
  <c r="O35" i="13"/>
  <c r="N35" i="13"/>
  <c r="M35" i="13"/>
  <c r="O34" i="13"/>
  <c r="N34" i="13"/>
  <c r="M34" i="13"/>
  <c r="O33" i="13"/>
  <c r="N33" i="13"/>
  <c r="M33" i="13"/>
  <c r="O31" i="13"/>
  <c r="N31" i="13"/>
  <c r="O30" i="13"/>
  <c r="N30" i="13"/>
  <c r="M30" i="13"/>
  <c r="O29" i="13"/>
  <c r="N29" i="13"/>
  <c r="M29" i="13"/>
  <c r="O28" i="13"/>
  <c r="N28" i="13"/>
  <c r="M28" i="13"/>
  <c r="O27" i="13"/>
  <c r="N27" i="13"/>
  <c r="M27" i="13"/>
  <c r="O26" i="13"/>
  <c r="N26" i="13"/>
  <c r="M26" i="13"/>
  <c r="O25" i="13"/>
  <c r="N25" i="13"/>
  <c r="M25" i="13"/>
  <c r="O24" i="13"/>
  <c r="N24" i="13"/>
  <c r="M24" i="13"/>
  <c r="O23" i="13"/>
  <c r="N23" i="13"/>
  <c r="O22" i="13"/>
  <c r="N22" i="13"/>
  <c r="M22" i="13"/>
  <c r="O20" i="13"/>
  <c r="N20" i="13"/>
  <c r="M20" i="13"/>
  <c r="G122" i="13"/>
  <c r="E14" i="2" s="1"/>
  <c r="E122" i="13"/>
  <c r="D14" i="2" s="1"/>
  <c r="D122" i="13"/>
  <c r="C14" i="2" s="1"/>
  <c r="C122" i="13"/>
  <c r="B14" i="2" s="1"/>
  <c r="G119" i="13"/>
  <c r="E119" i="13"/>
  <c r="D119" i="13"/>
  <c r="C119" i="13"/>
  <c r="G118" i="13"/>
  <c r="E118" i="13"/>
  <c r="D118" i="13"/>
  <c r="C118" i="13"/>
  <c r="G117" i="13"/>
  <c r="E117" i="13"/>
  <c r="D117" i="13"/>
  <c r="C117" i="13"/>
  <c r="J116" i="13"/>
  <c r="H116" i="13"/>
  <c r="G116" i="13"/>
  <c r="E116" i="13"/>
  <c r="D116" i="13"/>
  <c r="C116" i="13"/>
  <c r="G115" i="13"/>
  <c r="G120" i="13" s="1"/>
  <c r="E115" i="13"/>
  <c r="E120" i="13" s="1"/>
  <c r="D115" i="13"/>
  <c r="D120" i="13" s="1"/>
  <c r="C115" i="13"/>
  <c r="C120" i="13" s="1"/>
  <c r="K75" i="13"/>
  <c r="J75" i="13"/>
  <c r="O74" i="13"/>
  <c r="N74" i="13"/>
  <c r="M74" i="13"/>
  <c r="O73" i="13"/>
  <c r="N73" i="13"/>
  <c r="M73" i="13"/>
  <c r="O72" i="13"/>
  <c r="N72" i="13"/>
  <c r="M72" i="13"/>
  <c r="O71" i="13"/>
  <c r="N71" i="13"/>
  <c r="M71" i="13"/>
  <c r="O70" i="13"/>
  <c r="N70" i="13"/>
  <c r="M70" i="13"/>
  <c r="O69" i="13"/>
  <c r="N69" i="13"/>
  <c r="M69" i="13"/>
  <c r="O68" i="13"/>
  <c r="N68" i="13"/>
  <c r="M68" i="13"/>
  <c r="O67" i="13"/>
  <c r="N67" i="13"/>
  <c r="M67" i="13"/>
  <c r="O66" i="13"/>
  <c r="N66" i="13"/>
  <c r="M66" i="13"/>
  <c r="O65" i="13"/>
  <c r="N65" i="13"/>
  <c r="M65" i="13"/>
  <c r="O64" i="13"/>
  <c r="N64" i="13"/>
  <c r="M64" i="13"/>
  <c r="O63" i="13"/>
  <c r="N63" i="13"/>
  <c r="M63" i="13"/>
  <c r="O62" i="13"/>
  <c r="N62" i="13"/>
  <c r="M62" i="13"/>
  <c r="O61" i="13"/>
  <c r="N61" i="13"/>
  <c r="M61" i="13"/>
  <c r="O60" i="13"/>
  <c r="N60" i="13"/>
  <c r="M60" i="13"/>
  <c r="O59" i="13"/>
  <c r="N59" i="13"/>
  <c r="M59" i="13"/>
  <c r="O58" i="13"/>
  <c r="N58" i="13"/>
  <c r="M58" i="13"/>
  <c r="O57" i="13"/>
  <c r="N57" i="13"/>
  <c r="M57" i="13"/>
  <c r="O56" i="13"/>
  <c r="N56" i="13"/>
  <c r="M56" i="13"/>
  <c r="O55" i="13"/>
  <c r="J119" i="13" s="1"/>
  <c r="N55" i="13"/>
  <c r="M55" i="13"/>
  <c r="H119" i="13" s="1"/>
  <c r="O54" i="13"/>
  <c r="J117" i="13" s="1"/>
  <c r="N54" i="13"/>
  <c r="M54" i="13"/>
  <c r="H117" i="13" s="1"/>
  <c r="O53" i="13"/>
  <c r="N53" i="13"/>
  <c r="M53" i="13"/>
  <c r="O52" i="13"/>
  <c r="N52" i="13"/>
  <c r="M52" i="13"/>
  <c r="O51" i="13"/>
  <c r="N51" i="13"/>
  <c r="M51" i="13"/>
  <c r="O50" i="13"/>
  <c r="N50" i="13"/>
  <c r="M50" i="13"/>
  <c r="O49" i="13"/>
  <c r="N49" i="13"/>
  <c r="M49" i="13"/>
  <c r="O48" i="13"/>
  <c r="N48" i="13"/>
  <c r="M48" i="13"/>
  <c r="O8" i="13"/>
  <c r="N8" i="13"/>
  <c r="M8" i="13"/>
  <c r="C2" i="13"/>
  <c r="B4" i="2"/>
  <c r="G83" i="12"/>
  <c r="E83" i="12"/>
  <c r="G82" i="12"/>
  <c r="E82" i="12"/>
  <c r="D82" i="12"/>
  <c r="G81" i="12"/>
  <c r="E81" i="12"/>
  <c r="D81" i="12"/>
  <c r="J80" i="12"/>
  <c r="H80" i="12"/>
  <c r="G80" i="12"/>
  <c r="E80" i="12"/>
  <c r="D80" i="12"/>
  <c r="G86" i="12"/>
  <c r="E9" i="2" s="1"/>
  <c r="E86" i="12"/>
  <c r="D9" i="2" s="1"/>
  <c r="F9" i="2" s="1"/>
  <c r="D86" i="12"/>
  <c r="C9" i="2" s="1"/>
  <c r="G79" i="12"/>
  <c r="G84" i="12" s="1"/>
  <c r="E79" i="12"/>
  <c r="E84" i="12" s="1"/>
  <c r="E117" i="18" l="1"/>
  <c r="D23" i="2"/>
  <c r="I116" i="18"/>
  <c r="G24" i="2" s="1"/>
  <c r="C117" i="18"/>
  <c r="B23" i="2"/>
  <c r="D117" i="18"/>
  <c r="C23" i="2"/>
  <c r="D25" i="2"/>
  <c r="C124" i="15"/>
  <c r="B18" i="2"/>
  <c r="D124" i="15"/>
  <c r="C18" i="2"/>
  <c r="C20" i="2" s="1"/>
  <c r="E124" i="15"/>
  <c r="D18" i="2"/>
  <c r="D20" i="2" s="1"/>
  <c r="F124" i="15"/>
  <c r="E18" i="2"/>
  <c r="E20" i="2" s="1"/>
  <c r="P6" i="15"/>
  <c r="D8" i="2"/>
  <c r="D10" i="2" s="1"/>
  <c r="E87" i="12"/>
  <c r="E8" i="2"/>
  <c r="G87" i="12"/>
  <c r="D28" i="2"/>
  <c r="H118" i="13"/>
  <c r="J118" i="13"/>
  <c r="C123" i="13"/>
  <c r="B13" i="2"/>
  <c r="D123" i="13"/>
  <c r="C13" i="2"/>
  <c r="E123" i="13"/>
  <c r="D13" i="2"/>
  <c r="D27" i="2" s="1"/>
  <c r="K6" i="13"/>
  <c r="G123" i="13"/>
  <c r="E13" i="2"/>
  <c r="E15" i="2" s="1"/>
  <c r="O6" i="13"/>
  <c r="E28" i="2"/>
  <c r="H116" i="18"/>
  <c r="F24" i="2" s="1"/>
  <c r="F117" i="18"/>
  <c r="E23" i="2"/>
  <c r="E27" i="2" s="1"/>
  <c r="H113" i="18"/>
  <c r="I113" i="18"/>
  <c r="H114" i="18"/>
  <c r="I114" i="18"/>
  <c r="H120" i="15"/>
  <c r="N76" i="15"/>
  <c r="I120" i="15"/>
  <c r="P76" i="15"/>
  <c r="H123" i="15"/>
  <c r="F19" i="2" s="1"/>
  <c r="I123" i="15"/>
  <c r="G19" i="2" s="1"/>
  <c r="H119" i="15"/>
  <c r="I119" i="15"/>
  <c r="H121" i="15"/>
  <c r="I121" i="15"/>
  <c r="D15" i="2"/>
  <c r="H122" i="13"/>
  <c r="F14" i="2" s="1"/>
  <c r="J122" i="13"/>
  <c r="G14" i="2" s="1"/>
  <c r="H115" i="13"/>
  <c r="H120" i="13" s="1"/>
  <c r="M75" i="13"/>
  <c r="J115" i="13"/>
  <c r="J120" i="13" s="1"/>
  <c r="O75" i="13"/>
  <c r="C83" i="12"/>
  <c r="C82" i="12"/>
  <c r="C81" i="12"/>
  <c r="C80" i="12"/>
  <c r="C86" i="12"/>
  <c r="B9" i="2" s="1"/>
  <c r="D79" i="12"/>
  <c r="D84" i="12" s="1"/>
  <c r="C79" i="12"/>
  <c r="C84" i="12" s="1"/>
  <c r="J39" i="12"/>
  <c r="O38" i="12"/>
  <c r="N38" i="12"/>
  <c r="O37" i="12"/>
  <c r="N37" i="12"/>
  <c r="O36" i="12"/>
  <c r="N36" i="12"/>
  <c r="O35" i="12"/>
  <c r="N35" i="12"/>
  <c r="O34" i="12"/>
  <c r="N34" i="12"/>
  <c r="O33" i="12"/>
  <c r="N33" i="12"/>
  <c r="O32" i="12"/>
  <c r="N32" i="12"/>
  <c r="O31" i="12"/>
  <c r="N31" i="12"/>
  <c r="O22" i="12"/>
  <c r="N22" i="12"/>
  <c r="O16" i="12"/>
  <c r="N16" i="12"/>
  <c r="O25" i="12"/>
  <c r="N25" i="12"/>
  <c r="O15" i="12"/>
  <c r="N15" i="12"/>
  <c r="O21" i="12"/>
  <c r="N21" i="12"/>
  <c r="O20" i="12"/>
  <c r="N20" i="12"/>
  <c r="N19" i="12"/>
  <c r="N14" i="12"/>
  <c r="O26" i="12"/>
  <c r="N26" i="12"/>
  <c r="J83" i="12"/>
  <c r="H83" i="12"/>
  <c r="O27" i="12"/>
  <c r="J81" i="12" s="1"/>
  <c r="N27" i="12"/>
  <c r="H81" i="12"/>
  <c r="O17" i="12"/>
  <c r="N17" i="12"/>
  <c r="O13" i="12"/>
  <c r="N13" i="12"/>
  <c r="O12" i="12"/>
  <c r="N12" i="12"/>
  <c r="J82" i="12"/>
  <c r="H82" i="12"/>
  <c r="O11" i="12"/>
  <c r="N11" i="12"/>
  <c r="O8" i="12"/>
  <c r="J79" i="12" s="1"/>
  <c r="J84" i="12" s="1"/>
  <c r="C2" i="12"/>
  <c r="H86" i="12" l="1"/>
  <c r="I117" i="18"/>
  <c r="G23" i="2"/>
  <c r="I124" i="15"/>
  <c r="G18" i="2"/>
  <c r="G20" i="2" s="1"/>
  <c r="H124" i="15"/>
  <c r="F18" i="2"/>
  <c r="G8" i="2"/>
  <c r="B8" i="2"/>
  <c r="C87" i="12"/>
  <c r="C8" i="2"/>
  <c r="D87" i="12"/>
  <c r="J123" i="13"/>
  <c r="G13" i="2"/>
  <c r="H123" i="13"/>
  <c r="F13" i="2"/>
  <c r="C27" i="2"/>
  <c r="C15" i="2"/>
  <c r="H117" i="18"/>
  <c r="F23" i="2"/>
  <c r="J86" i="12"/>
  <c r="H79" i="12"/>
  <c r="H84" i="12" s="1"/>
  <c r="O39" i="12"/>
  <c r="F15" i="2" l="1"/>
  <c r="F20" i="2"/>
  <c r="H87" i="12"/>
  <c r="G9" i="2"/>
  <c r="G28" i="2" s="1"/>
  <c r="J87" i="12"/>
  <c r="F27" i="2"/>
  <c r="G10" i="2"/>
  <c r="G27" i="2"/>
  <c r="G15" i="2"/>
  <c r="C25" i="2" l="1"/>
  <c r="C28" i="2"/>
  <c r="F28" i="2" l="1"/>
  <c r="E25" i="2"/>
  <c r="C10" i="2"/>
  <c r="G25" i="2"/>
  <c r="F25" i="2" l="1"/>
  <c r="E10" i="2" l="1"/>
  <c r="F10" i="2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<sst xmlns="http://schemas.openxmlformats.org/spreadsheetml/2006/main" count="1585" uniqueCount="391">
  <si>
    <t>Summary of Projects</t>
  </si>
  <si>
    <t>Date:</t>
  </si>
  <si>
    <t>Project Count</t>
  </si>
  <si>
    <t>Contract Amount</t>
  </si>
  <si>
    <t>Gross Amnt TD Invoiced</t>
  </si>
  <si>
    <t>Aged Receivables</t>
  </si>
  <si>
    <t>Received</t>
  </si>
  <si>
    <t>Contract Backlog</t>
  </si>
  <si>
    <t>Commercial</t>
  </si>
  <si>
    <t>Active</t>
  </si>
  <si>
    <t>Completed *</t>
  </si>
  <si>
    <t>Sub Total:</t>
  </si>
  <si>
    <t>Residential</t>
  </si>
  <si>
    <t>Repairs</t>
  </si>
  <si>
    <t>Completed*</t>
  </si>
  <si>
    <t>Maintenance</t>
  </si>
  <si>
    <t xml:space="preserve"> Grand Totals:</t>
  </si>
  <si>
    <t>Completed</t>
  </si>
  <si>
    <t>Commercial Projects</t>
  </si>
  <si>
    <t>Active Commercial Projects</t>
  </si>
  <si>
    <t xml:space="preserve"> </t>
  </si>
  <si>
    <t>Job Name</t>
  </si>
  <si>
    <t>Type of Work</t>
  </si>
  <si>
    <t>Supervisor</t>
  </si>
  <si>
    <t>Salesperson</t>
  </si>
  <si>
    <t>Project Status</t>
  </si>
  <si>
    <t>Contract Signed</t>
  </si>
  <si>
    <t>Invoiced to Date</t>
  </si>
  <si>
    <t>Received to Date</t>
  </si>
  <si>
    <t>% of Contract Invoiced</t>
  </si>
  <si>
    <t>Backlog</t>
  </si>
  <si>
    <t>Notes</t>
  </si>
  <si>
    <t>NTO</t>
  </si>
  <si>
    <t>Leisure Beach S. Condo      2900 Banyan St., Ft. Lauderdale, Fl 33316</t>
  </si>
  <si>
    <t>SPF</t>
  </si>
  <si>
    <t>AJ</t>
  </si>
  <si>
    <t>Shawn</t>
  </si>
  <si>
    <t>In Process</t>
  </si>
  <si>
    <t>Yes</t>
  </si>
  <si>
    <t>Inv no 43811 - $30,448.00 - Temp Roofing - emailed on 10/28/25, inv no 43869 - Permit Fees - $2749.34 - emailed on 11/26/25</t>
  </si>
  <si>
    <t xml:space="preserve"> YES</t>
  </si>
  <si>
    <t>Palm Beach Yacht Center  7848 S. Federal Hwy., Lantana, Fl 33462</t>
  </si>
  <si>
    <t>Scott</t>
  </si>
  <si>
    <t xml:space="preserve">Not started </t>
  </si>
  <si>
    <t>Geraldo Abreu - Deer Run 2 4301 Coral Springs Drive   Coral Springs, FL 33065</t>
  </si>
  <si>
    <t>Tile</t>
  </si>
  <si>
    <t>Santiago</t>
  </si>
  <si>
    <t xml:space="preserve">                   </t>
  </si>
  <si>
    <t>Lime Bay Condominium
9190 Lime Bay Blvd
Tamarac, FL  33321</t>
  </si>
  <si>
    <t xml:space="preserve">Inv no 43941- $136,374.80 - Pay App no 5 - 40% of Commencement - BUILDING 15 - 9401 Lime Bay Blvd / C/O # 3: 1 ea. AC Repairs and Line Jack Install. </t>
  </si>
  <si>
    <t>Not Started</t>
  </si>
  <si>
    <t>Brian Tansey /                    Worth Avenue Yachts
866 NE 20th Avenue
Ft. Lauderdale, Fl  33304-3223</t>
  </si>
  <si>
    <t>SPF/Flat</t>
  </si>
  <si>
    <t>Protech E2                        103375 Oversees Hwy, Key Largo, FL 33037</t>
  </si>
  <si>
    <t>Foam</t>
  </si>
  <si>
    <t>YES</t>
  </si>
  <si>
    <t>Delayed</t>
  </si>
  <si>
    <t>Alpine Woods Condo        9600 Griffin Road, Cooper City, FL 33328</t>
  </si>
  <si>
    <r>
      <rPr>
        <b/>
        <u/>
        <sz val="12"/>
        <color rgb="FF000000"/>
        <rFont val="Arial"/>
      </rPr>
      <t>REPAIRS - $2,197.25</t>
    </r>
    <r>
      <rPr>
        <sz val="12"/>
        <color rgb="FF000000"/>
        <rFont val="Arial"/>
      </rPr>
      <t xml:space="preserve">- (Inv no 43514-$570.00- sent 6/25/25, , Inv no 43645 - $477.25 - sent 8/25/25, Inv no 43646 - $575.00 - sent 8/25/25, Inv no 43647 - $575.00 - sent 8/25/25), </t>
    </r>
    <r>
      <rPr>
        <b/>
        <u/>
        <sz val="12"/>
        <color rgb="FF000000"/>
        <rFont val="Arial"/>
      </rPr>
      <t>COMMERCIAL - $197,460.84</t>
    </r>
    <r>
      <rPr>
        <sz val="12"/>
        <color rgb="FF000000"/>
        <rFont val="Arial"/>
      </rPr>
      <t xml:space="preserve"> - (Inv no 43886 - $130,545.00 - Wood bill (bill may be reduced by 50% as per Scott) - presently on hold as per Scott to meet w/ Alpine Wood), Inv no 43945 - $66,915.84 - Pay App no 36 - emailed on 1/6/26</t>
    </r>
  </si>
  <si>
    <t xml:space="preserve">MIsc reve. $178797.47 - </t>
  </si>
  <si>
    <t>Admiral Towers                   1020 Meridian Avenue  Miami Beach, Fl 33139</t>
  </si>
  <si>
    <r>
      <rPr>
        <b/>
        <u/>
        <sz val="12"/>
        <color rgb="FF000000"/>
        <rFont val="Arial"/>
      </rPr>
      <t xml:space="preserve">TEMP ROOFING - $28,217.22 </t>
    </r>
    <r>
      <rPr>
        <sz val="12"/>
        <color rgb="FF000000"/>
        <rFont val="Arial"/>
      </rPr>
      <t>- (Inv no 43833 - $28,217.22 emailed on 11/11/25),</t>
    </r>
    <r>
      <rPr>
        <b/>
        <u/>
        <sz val="12"/>
        <color rgb="FF000000"/>
        <rFont val="Arial"/>
      </rPr>
      <t>COMMERCIAL - $101,871.49</t>
    </r>
    <r>
      <rPr>
        <sz val="12"/>
        <color rgb="FF000000"/>
        <rFont val="Arial"/>
      </rPr>
      <t xml:space="preserve"> ( Inv no 43891 - $101,871.49 - 20% due upon 50% Completion and Final 50% Billing for Change Order no 2 &amp; 3 - emailed on 12/11/25)</t>
    </r>
  </si>
  <si>
    <t>Regal Trace Ltd                 540 NW 4th Ave, Fort Lauderdale, FL 33311</t>
  </si>
  <si>
    <t>Shingle</t>
  </si>
  <si>
    <t>NO</t>
  </si>
  <si>
    <r>
      <rPr>
        <b/>
        <sz val="14"/>
        <color theme="1"/>
        <rFont val="Cambria, serif"/>
      </rPr>
      <t xml:space="preserve">Regal Trace Ltd 
</t>
    </r>
    <r>
      <rPr>
        <sz val="14"/>
        <color theme="1"/>
        <rFont val="Cambria, serif"/>
      </rPr>
      <t>540 NW 4th Ave 
Fort Lauderdale, FL 33111 
954-468-1800</t>
    </r>
  </si>
  <si>
    <t>Holy Acres Pet Resort</t>
  </si>
  <si>
    <t>Litigation</t>
  </si>
  <si>
    <t>Westview Condominium 3 9142 Limetree Ln, Pembroke Pines FL 33024</t>
  </si>
  <si>
    <t>Modified</t>
  </si>
  <si>
    <t>Pending</t>
  </si>
  <si>
    <t>High Point Court  Ass., Inc. 211 High Point Blvd, Boynton Beach, FL 33445</t>
  </si>
  <si>
    <t>Blake</t>
  </si>
  <si>
    <r>
      <rPr>
        <sz val="12"/>
        <color rgb="FF000000"/>
        <rFont val="Arial"/>
      </rPr>
      <t xml:space="preserve">Inv no 43878 - $51,917.00 - Pay app no 7 -emailed on 12/8/25 , Inv no 43955 - $50,489.88 - Pay app no 9 -emailed on 1/6/26 </t>
    </r>
    <r>
      <rPr>
        <sz val="12"/>
        <color rgb="FFFF0000"/>
        <rFont val="Arial"/>
      </rPr>
      <t>s/b billed in full per Scott</t>
    </r>
  </si>
  <si>
    <t>Lakeside Village                 500 Lori Drive                       Palm Springs, Fl 33461</t>
  </si>
  <si>
    <r>
      <rPr>
        <b/>
        <u/>
        <sz val="12"/>
        <color rgb="FF000000"/>
        <rFont val="Arial"/>
      </rPr>
      <t>EXTRA WORK -</t>
    </r>
    <r>
      <rPr>
        <sz val="12"/>
        <color rgb="FF000000"/>
        <rFont val="Arial"/>
      </rPr>
      <t xml:space="preserve">  Inv no. 43626 - $9,834.62 - Repairs performed due to roof leak caused by The Cool Team (A/C contractor) - Client: Adriana Dilworth, </t>
    </r>
    <r>
      <rPr>
        <b/>
        <u/>
        <sz val="12"/>
        <color rgb="FF000000"/>
        <rFont val="Arial"/>
      </rPr>
      <t>COMMERCIAL -</t>
    </r>
    <r>
      <rPr>
        <sz val="12"/>
        <color rgb="FF000000"/>
        <rFont val="Arial"/>
      </rPr>
      <t xml:space="preserve"> Inv no 43940 - $325,511.68 </t>
    </r>
  </si>
  <si>
    <t>Island Crest Condominium
10680 S. Ocean Drive
Jensen Beach, Fl 34957</t>
  </si>
  <si>
    <t>David</t>
  </si>
  <si>
    <r>
      <rPr>
        <b/>
        <u/>
        <sz val="12"/>
        <color rgb="FF000000"/>
        <rFont val="Arial"/>
      </rPr>
      <t xml:space="preserve">COMMERCIAL - $70,118.51 - </t>
    </r>
    <r>
      <rPr>
        <sz val="12"/>
        <color rgb="FF000000"/>
        <rFont val="Arial"/>
      </rPr>
      <t>Inv no 43809- $22,500.00 - Temp Roofing - emailed 10/28/25 - Update Amount of Invoice to $22,500.00 as per SCI Agreement and Inv no 43936 - Final Bill  - not paid yet but have copy of check for payment</t>
    </r>
  </si>
  <si>
    <t>High Point of Delray            292 High Point Blvd, Delray Beach, FL 33445</t>
  </si>
  <si>
    <t>Shingle Peel &amp; Stick</t>
  </si>
  <si>
    <t>Inv no 43892 - $19,200.00 - Wood Bill - Pay App no 11:s/b another approx. $50k for addl woodwork</t>
  </si>
  <si>
    <t>KAPS-ALL Packaging Systems 251 N Congress Avenue, Delray Beach, Fl 33445</t>
  </si>
  <si>
    <t>The Land of President 2500-3050 Presidential Way, West Palm Beach</t>
  </si>
  <si>
    <t>Mark One Condominium  1050 SE 15th Street Ft. Lauderdale, Fl 33316</t>
  </si>
  <si>
    <t>Garry</t>
  </si>
  <si>
    <t xml:space="preserve">Lauderdale West  </t>
  </si>
  <si>
    <t xml:space="preserve">  Wood Bills: $2,000.00</t>
  </si>
  <si>
    <t>Greensward Village</t>
  </si>
  <si>
    <t>EJ</t>
  </si>
  <si>
    <t>No Contract</t>
  </si>
  <si>
    <r>
      <rPr>
        <b/>
        <sz val="14"/>
        <color theme="1"/>
        <rFont val="Cambria, serif"/>
      </rPr>
      <t xml:space="preserve">Greensward Village 
</t>
    </r>
    <r>
      <rPr>
        <sz val="14"/>
        <color theme="1"/>
        <rFont val="Cambria, serif"/>
      </rPr>
      <t>745 Greenward Ct. 
Delray Beach, FL 33069 
954-984-1000</t>
    </r>
  </si>
  <si>
    <t>Isles of Boca Association 23229 Fountain View Drive
Boca Raton, Fl 33433</t>
  </si>
  <si>
    <t>14 - $115,670.72 - sent on 3/21/25, 15 - $105,703.32 - originally emailed on 3/28/25 - revised sent on 4/25/25, 16 - on Hold,  Fees - inv no 43327- $408.50 - 4/9/25</t>
  </si>
  <si>
    <t>Mariner's Way Condo         2707 14th Street Causeway  Pompano Beach, Fl 33062</t>
  </si>
  <si>
    <t xml:space="preserve">Amkin Mgmt-Bainbridge </t>
  </si>
  <si>
    <t>Recoat / SPF</t>
  </si>
  <si>
    <t>STATUS LEGEND:</t>
  </si>
  <si>
    <r>
      <t xml:space="preserve">Amkin Mgmt-Bainbridge 
</t>
    </r>
    <r>
      <rPr>
        <sz val="14"/>
        <color theme="1"/>
        <rFont val="Calibri, sans-serif"/>
      </rPr>
      <t>1501 Colquitt Bainbridge, GA</t>
    </r>
  </si>
  <si>
    <t>Amkin Mgmt-Flamingo Seafood</t>
  </si>
  <si>
    <t>TPO</t>
  </si>
  <si>
    <r>
      <t xml:space="preserve">Amkin Mgmt-Flamingo Seafood  
</t>
    </r>
    <r>
      <rPr>
        <sz val="14"/>
        <color rgb="FF000000"/>
        <rFont val="Calibri, sans-serif"/>
      </rPr>
      <t>2798 E Atlantic Blvd. 
Pompano Beach, FL 32062</t>
    </r>
  </si>
  <si>
    <t>Amkin Mgmt-Westbay</t>
  </si>
  <si>
    <t>Recoat</t>
  </si>
  <si>
    <t>POSTPONED</t>
  </si>
  <si>
    <r>
      <rPr>
        <b/>
        <sz val="14"/>
        <color rgb="FF000000"/>
        <rFont val="Calibri, sans-serif"/>
      </rPr>
      <t xml:space="preserve">Amkin Mgmt-Westbay  
</t>
    </r>
    <r>
      <rPr>
        <sz val="14"/>
        <color rgb="FF000000"/>
        <rFont val="Calibri, sans-serif"/>
      </rPr>
      <t>311 W Bay Street 
Jacksonville, FL 32202</t>
    </r>
  </si>
  <si>
    <t>Meadowbrook Tower L</t>
  </si>
  <si>
    <r>
      <t xml:space="preserve">Meadowbrook Tower L 
</t>
    </r>
    <r>
      <rPr>
        <sz val="14"/>
        <color theme="1"/>
        <rFont val="Cambria, serif"/>
      </rPr>
      <t>319 NE 14 Avenue
Hallandale, FL 33009 
416-453-7996</t>
    </r>
  </si>
  <si>
    <t>Casa Blanca Condominiums                   701 NE 1st Court Hallandale, Fl 33009</t>
  </si>
  <si>
    <t>Winston Towers 400</t>
  </si>
  <si>
    <r>
      <rPr>
        <b/>
        <sz val="14"/>
        <color theme="1"/>
        <rFont val="Cambria, serif"/>
      </rPr>
      <t xml:space="preserve">Donnil Kenney 
</t>
    </r>
    <r>
      <rPr>
        <sz val="14"/>
        <color theme="1"/>
        <rFont val="Cambria, serif"/>
      </rPr>
      <t>3095 S Military Trail 
Lake Worth, FL 33463 
561-644-0077</t>
    </r>
  </si>
  <si>
    <t>Donnil Kenney</t>
  </si>
  <si>
    <t>The Field - British Oak</t>
  </si>
  <si>
    <t>Shingle &amp; Flat</t>
  </si>
  <si>
    <r>
      <rPr>
        <b/>
        <sz val="14"/>
        <color theme="1"/>
        <rFont val="Cambria, serif"/>
      </rPr>
      <t xml:space="preserve">The Field - British Oak
</t>
    </r>
    <r>
      <rPr>
        <sz val="14"/>
        <color theme="1"/>
        <rFont val="Cambria, serif"/>
      </rPr>
      <t>3281 Griffin Road 
Fort Lauderdale, Florida 33312 
954-649-6082 Marie McMullen</t>
    </r>
  </si>
  <si>
    <t>Regency Island Dunes</t>
  </si>
  <si>
    <r>
      <rPr>
        <sz val="14"/>
        <color theme="1"/>
        <rFont val="Cambria, serif"/>
      </rPr>
      <t xml:space="preserve">SPF
</t>
    </r>
    <r>
      <rPr>
        <i/>
        <sz val="14"/>
        <color theme="1"/>
        <rFont val="Cambria, serif"/>
      </rPr>
      <t>N. Bldg Porta Cochere Metal - S. Bldg</t>
    </r>
  </si>
  <si>
    <r>
      <rPr>
        <b/>
        <sz val="14"/>
        <color theme="1"/>
        <rFont val="Calibri, sans-serif"/>
      </rPr>
      <t xml:space="preserve">Regency Island Dunes 
</t>
    </r>
    <r>
      <rPr>
        <sz val="14"/>
        <color theme="1"/>
        <rFont val="Calibri, sans-serif"/>
      </rPr>
      <t>8640/8650 S Ocean Dr 
Jensen Beach, FL 34957</t>
    </r>
  </si>
  <si>
    <t>Totals</t>
  </si>
  <si>
    <t>Outstanding Invoice Amnt</t>
  </si>
  <si>
    <t>Gross Amnt Paid</t>
  </si>
  <si>
    <t>Contract Amnt Not Invoiced</t>
  </si>
  <si>
    <t>Projects In Process:</t>
  </si>
  <si>
    <t>Projects Delayed:</t>
  </si>
  <si>
    <t>Projects In Pending:</t>
  </si>
  <si>
    <t>Projects with No Contract:</t>
  </si>
  <si>
    <t>Projects In Litigation:</t>
  </si>
  <si>
    <t>Sub-Total:</t>
  </si>
  <si>
    <t>Projects In Completed:</t>
  </si>
  <si>
    <t>Grand Total:</t>
  </si>
  <si>
    <t>Residential Projects</t>
  </si>
  <si>
    <t>Active Residential Projects</t>
  </si>
  <si>
    <t>Project Info.</t>
  </si>
  <si>
    <t>Project Bookkeeping</t>
  </si>
  <si>
    <t>Comments</t>
  </si>
  <si>
    <t>Gross Amnt Invoiced:</t>
  </si>
  <si>
    <t>&lt;-Active Projects Amnts-&gt;</t>
  </si>
  <si>
    <t>Gross Outstanding Invoiced Amnt:</t>
  </si>
  <si>
    <t>Darrylle Hood                   3549 SW 14th St, Ft Lauderdale, FL 33312</t>
  </si>
  <si>
    <t>Jason Finch                      565 Holly Drive, Palm Beach Gardens, Fl 33410</t>
  </si>
  <si>
    <t xml:space="preserve">Shingle </t>
  </si>
  <si>
    <t xml:space="preserve">Ygrene Financing Paid </t>
  </si>
  <si>
    <t>MAURICE PIETRACULPA Boynton leisureville</t>
  </si>
  <si>
    <t>SPF ROOF RECOVERING</t>
  </si>
  <si>
    <t>Terry</t>
  </si>
  <si>
    <t>Louis foam truck scheduled for 1/31/26</t>
  </si>
  <si>
    <t>Daniel Poliseo                12399 NW 80th Place, Parkland, Fl 33076</t>
  </si>
  <si>
    <t>Foam - Seam Tape</t>
  </si>
  <si>
    <t xml:space="preserve">Santiago </t>
  </si>
  <si>
    <t>Monica Gonzalez Zuniga          5835 TARRAGON DR, WEST PALM BEACH, FL, 33415</t>
  </si>
  <si>
    <t>SPF Foam Flat Roof</t>
  </si>
  <si>
    <t xml:space="preserve">Blake </t>
  </si>
  <si>
    <t xml:space="preserve">Credit Approved by Renew Financial </t>
  </si>
  <si>
    <t>Scott Stoik                       26201 SW 167 Avenue, Homestead, Fl 33031</t>
  </si>
  <si>
    <t xml:space="preserve">Billed for 20% deposit and 40% upon commenecement Paid in Full, Billed for 40% upon completion on 1/27/2026 not paid yet </t>
  </si>
  <si>
    <t>Mike Feingold                   9325 SW 16th Rd W, Boca Raton, Fl 33428</t>
  </si>
  <si>
    <t>Modified Roof System</t>
  </si>
  <si>
    <t>G.K. Windows Treatments 231 SW 5th Street,  Pompano Beach, Fl 33069</t>
  </si>
  <si>
    <t>SPF Roof System</t>
  </si>
  <si>
    <t>Inv no 43950 - $39,670.38 - Final bill and Permit Fees</t>
  </si>
  <si>
    <t>David Gross                       3864 NW 63rd Terrace Coral Springs, Fl 33067</t>
  </si>
  <si>
    <t>Tiles</t>
  </si>
  <si>
    <t>Annisha Armoogan          6420 Oak Street,  Hollywood, Fl 33024</t>
  </si>
  <si>
    <t>Lou Ann Banks                    408 NE 9th Avenue, Ft. Lauderdale. Fl 33301</t>
  </si>
  <si>
    <t>inv no 43885 - Final Bill</t>
  </si>
  <si>
    <t>Lynn Silverman                    911 NE Sandalwood Place, Jensen Beach, Fl 34957</t>
  </si>
  <si>
    <t>Joe Simmons                    7627 SW 102 Place, Miami, Fl 33173</t>
  </si>
  <si>
    <t>Inv no 43928 - $14220.00 - Final Bill</t>
  </si>
  <si>
    <t>Jordan Schilt
3725 Piedmont Street
Hollywood, Fl  33021</t>
  </si>
  <si>
    <t>inv no 43907 - $7,530.20 - 40% Upon Commencement - emailed on 12/17/25- Awaiting payment status from HOA association since Jordan has moved from community and is no longer with the HOA</t>
  </si>
  <si>
    <t>Christina Fry                           584 SW 131st Ave, Davie, fL 33325</t>
  </si>
  <si>
    <t>On Hold, No Money</t>
  </si>
  <si>
    <t>Jim Balistreri                             321 SE 15th Avenue  Deerfield, Fl 33441</t>
  </si>
  <si>
    <t>Lauderdale West: James &amp; Virginia Holman 8217 NW 15 Ct. Plantation, Fl 33322</t>
  </si>
  <si>
    <t xml:space="preserve">Peter Chesky                        1171 Faieview Ln, West Palm Beach </t>
  </si>
  <si>
    <t>Metal Aluminum</t>
  </si>
  <si>
    <t>Billed for 30% deposit (paid) and 40% upon completion (unpaid) on 01/27/2026</t>
  </si>
  <si>
    <t>Jack English
Lake Worth Country Club
5279 Fountain Dr. S.
Lake Worth, Fl  33467</t>
  </si>
  <si>
    <t>Modified Bitumen</t>
  </si>
  <si>
    <t>Anthony Santilli
5130 NW 57th Way
Coral Springs, Fl  33067</t>
  </si>
  <si>
    <t>Charles Graves
531 NE 39th Street,
Deerfield Beach, Fl 33064</t>
  </si>
  <si>
    <t>Shingles</t>
  </si>
  <si>
    <t>Jennifer &amp; David Hickman D/D Lobster Company Inc. 16032 Prestwich Dr. E, Loxahatchee, FL 33470</t>
  </si>
  <si>
    <t>Scott/Blake</t>
  </si>
  <si>
    <t>Carol Cutillo                          19631 Delaware Cricle, Boca Raton, Fl 19631</t>
  </si>
  <si>
    <t>Joshua</t>
  </si>
  <si>
    <t>Marie J. Leo                             6329 Cleveland Street  Hollywood, Fl 33024</t>
  </si>
  <si>
    <t>12 Month Payment Plan - 5 of 12 payments - Client made payment 4 of 12) - inv no: 43930- $1,100.00 - emailed 12/23/25, 1/20/26</t>
  </si>
  <si>
    <t>Anisha Eckroth                   2288 Gabriel Lane  West Palm Beach, Fl 33406</t>
  </si>
  <si>
    <t>Roof Repair</t>
  </si>
  <si>
    <t>inv no 43700 - $200.00, Payment arrangement for $950.00 @ $200.00 bi-weekly billing until full contract amount is paid full</t>
  </si>
  <si>
    <t>Desmond Arscott
4410 NE 3rd Avenue
Pompano Beach, Fl 33064</t>
  </si>
  <si>
    <t>Clover Williams                       3188 La Mirage Drive  Lauderhill, Fl 33319</t>
  </si>
  <si>
    <t>Warranty and ROL</t>
  </si>
  <si>
    <t>Lisa Sawin
637 56th Street
West Palm Beach, Fl 33407</t>
  </si>
  <si>
    <t>Shelly-Ann M. Knight
8811 Cleary Blvd
Plantation, Fl 33324</t>
  </si>
  <si>
    <t>Eneida Werner
11719 Timbers Way
Boca Raton, Fl 33428</t>
  </si>
  <si>
    <t>5 Month Payment Plan - invoice no 43775 - $210.00 - 4 of 5 - emailed on 10/14/25 - invoice no 43908 - $210.00 - 5 of 5 - emailed on 12/17/25</t>
  </si>
  <si>
    <t>Helen Stern                         2232 SW 33rd Way
Fort Lauderdale, Fl 33312</t>
  </si>
  <si>
    <t>Lora Delorenzo                 816 Blueberry Drive, Wellington, Fl 33414</t>
  </si>
  <si>
    <t>Marco Lopez-Calleja            2538 Bahia Road,                West Palm Beach, Fl 33408</t>
  </si>
  <si>
    <t xml:space="preserve">Mark Hosang                           3375 Sw 2nd Ct.                Deerfield Beach, Fl 33442         </t>
  </si>
  <si>
    <t>Steve Evans                       234 Moccasin Trail West, Jupiter, Fl 33458</t>
  </si>
  <si>
    <t>Steve Serle                       5820 N Federal Hwy
Boca Raton, Fl 33308</t>
  </si>
  <si>
    <t>Steve Serle                       10296 Hidden Springs Ct.
Boca Raton, Fl 33498</t>
  </si>
  <si>
    <t>Tommy Smith                  5845 Clubhouse Drive, Vero Beach, Fl 32967</t>
  </si>
  <si>
    <t>Mia Krauss                      1209 NW 7th St, Boca Raton, Fl 33486</t>
  </si>
  <si>
    <t>Laurie Ellis                     5810 NE 18th Avenue
Ft. Lauderdale, Fl 33334</t>
  </si>
  <si>
    <t>Leroy Collins                  3801 Falcon Ridgfe Circle, Weston Fl 33331</t>
  </si>
  <si>
    <t>No</t>
  </si>
  <si>
    <t>Michael Salus Const - 208 SE</t>
  </si>
  <si>
    <t>Standing Seam Metal (Galvalume)</t>
  </si>
  <si>
    <t>Michael Salus Const - 2506 NE</t>
  </si>
  <si>
    <t xml:space="preserve">Monique Chasse               112 NE 4th Avenue       Deerfield Beach, Fl 33442         </t>
  </si>
  <si>
    <t>Michael Salus Const - 900 SE</t>
  </si>
  <si>
    <t>Doxey Forrester             201 Wrena Drive
West Palm Beach, Fl 33409</t>
  </si>
  <si>
    <t>Ygreene</t>
  </si>
  <si>
    <t>Mimi Goon                     1520 NW 96th avenue
Plantation, Fl 33322</t>
  </si>
  <si>
    <t>Renew Financial</t>
  </si>
  <si>
    <t>Jim Zeller                         3561 NW 7 Court
Lauderhill, Fl 33311</t>
  </si>
  <si>
    <t>Shingle/Modified</t>
  </si>
  <si>
    <r>
      <t xml:space="preserve">Isles of Boca Association
</t>
    </r>
    <r>
      <rPr>
        <sz val="14"/>
        <color rgb="FF000000"/>
        <rFont val="Calibri, sans-serif"/>
      </rPr>
      <t>23229 Fountain View Drive 
Boca Raton, Fl 33433</t>
    </r>
  </si>
  <si>
    <t>Michael Salus Const - 701 SE</t>
  </si>
  <si>
    <t>Williams Schwartz</t>
  </si>
  <si>
    <t>Richard Knapp</t>
  </si>
  <si>
    <t>Smith, Randy</t>
  </si>
  <si>
    <t>Kotulak, Donald</t>
  </si>
  <si>
    <t>Mark Dobson</t>
  </si>
  <si>
    <t>Tom Gallagher</t>
  </si>
  <si>
    <t>Gary</t>
  </si>
  <si>
    <t>Country Side Condo</t>
  </si>
  <si>
    <t>Antonio Sangineto</t>
  </si>
  <si>
    <t>Milton &amp; Barbara Jones Const. - 18 NW</t>
  </si>
  <si>
    <t>Lewis</t>
  </si>
  <si>
    <t>Milton &amp; Barbara Jones Const. - 22 NW</t>
  </si>
  <si>
    <t>Gary Williams</t>
  </si>
  <si>
    <t>Tile/SPF Flat</t>
  </si>
  <si>
    <t>Dave</t>
  </si>
  <si>
    <t>Ken Marone                      7810 NW 73 Avenue,  Tamarac, Fl 33321</t>
  </si>
  <si>
    <t>Active Repair Projects</t>
  </si>
  <si>
    <t>Repairs Info.</t>
  </si>
  <si>
    <t>Repair Status</t>
  </si>
  <si>
    <t>Repairs Bookkeeping</t>
  </si>
  <si>
    <t>Category</t>
  </si>
  <si>
    <t>Courtyard Marriott Hotel Coral springs 620 n University Dr</t>
  </si>
  <si>
    <t>Repair</t>
  </si>
  <si>
    <t>Gabriella</t>
  </si>
  <si>
    <t xml:space="preserve">completed 1/23/26 50% paid awaiting on Noor to inform terry when check can be picked up this week </t>
  </si>
  <si>
    <t>MAX CHANG                       934 Bluewood Terrace, Weston, FL 33327</t>
  </si>
  <si>
    <t>Repair Roof Leak</t>
  </si>
  <si>
    <t>paid in full</t>
  </si>
  <si>
    <t>Paid in full 10/27/25</t>
  </si>
  <si>
    <t>Chateau at Boca Grove
7383 Orangewood lane
Boca Raton, FL  33433</t>
  </si>
  <si>
    <t>yes</t>
  </si>
  <si>
    <t>paid in full 10/3/25</t>
  </si>
  <si>
    <t>paid in full 11/5/25</t>
  </si>
  <si>
    <t>Amelia Guerra
1250 NE 125th Street
North Miami, Fl  33161</t>
  </si>
  <si>
    <t>paid in full 10/31/25</t>
  </si>
  <si>
    <t>Skymark Real Estate Office 1540 s federal hwy pompano beach fl 33062</t>
  </si>
  <si>
    <t>completed 11/3/25 invoice 43823 paid in full 11/18/25</t>
  </si>
  <si>
    <t>Ryan Patch
2172 Queen Palm Road
Boca Raton, Fl  33432</t>
  </si>
  <si>
    <t>Starlight Towers               6000 N Ocean Blvd. Lauderdale-by-the-sea, Fl 33308</t>
  </si>
  <si>
    <t>PAID IN FULL AS OF 11/4/25</t>
  </si>
  <si>
    <t>REPAIR</t>
  </si>
  <si>
    <t>GARRY</t>
  </si>
  <si>
    <t>WORK COMPLETED 11/4/25 INV 43822 PAYMENT date 11/21/25</t>
  </si>
  <si>
    <t xml:space="preserve">MARKETPLACE BSO OFFICE2926 N ST RD 7 OAKLAND PARK </t>
  </si>
  <si>
    <t>completed 12/22/25 awaiting payment</t>
  </si>
  <si>
    <t>Sam Levine 6644 Patio LN</t>
  </si>
  <si>
    <t>repair</t>
  </si>
  <si>
    <t>Casablanca Isles Boynton beach</t>
  </si>
  <si>
    <t>PAID IN FULL 10/21/25</t>
  </si>
  <si>
    <t xml:space="preserve">JCI-2460 PGA Blvd. </t>
  </si>
  <si>
    <t>Under Litigation</t>
  </si>
  <si>
    <t>Meadowbrook L 319 NE 14 Ave Hallandale Beach 33009</t>
  </si>
  <si>
    <t>service charge, no roof leaks - Meadowbrook will not pay invoice</t>
  </si>
  <si>
    <t>Embassy Park Condo 1700 Embassy Dr WPB</t>
  </si>
  <si>
    <t>PAID IN FULL 9/29/25</t>
  </si>
  <si>
    <t>Variety Foods 1300 SW 2nd St</t>
  </si>
  <si>
    <t>garry</t>
  </si>
  <si>
    <t>paidin full 9/23/25</t>
  </si>
  <si>
    <t>Nationwide loan consultants</t>
  </si>
  <si>
    <t>repair Roof Leak</t>
  </si>
  <si>
    <t>paid in full 9/11/25</t>
  </si>
  <si>
    <t>Galt Ocean Terrace</t>
  </si>
  <si>
    <t>Repair/change order</t>
  </si>
  <si>
    <t>PAID IN FULL PLUS 1100 EXTRA WORK CHARGE</t>
  </si>
  <si>
    <t>Xavier Doe                        1210 Van Buren Street, Hollywood, Fl 33019</t>
  </si>
  <si>
    <t>PAID IN FULL 8/14/25</t>
  </si>
  <si>
    <t>Yvette &amp; Shaun 9146 Pinto Dr Wellignton</t>
  </si>
  <si>
    <t>PAID IN FULL 8/22/25</t>
  </si>
  <si>
    <t>Geneva Group Jennafer Belabin 1015 North State Road 7, Royal Palm Beach, fl 33411</t>
  </si>
  <si>
    <t>PAID IN FULL</t>
  </si>
  <si>
    <t>Jill Moss                                   1 Seneca Rd, Sea Ranch Lakes</t>
  </si>
  <si>
    <t>Main./Repair</t>
  </si>
  <si>
    <t>PAID IN FULL 7/22/25</t>
  </si>
  <si>
    <t>Krystina Wright - Prestigious Property Management 2405 Lake Drive, Riviera Beach, Fl 33404</t>
  </si>
  <si>
    <t>PAID IN FULL 7/18/25</t>
  </si>
  <si>
    <t>Rick Howard Havana Dr Boca Ration</t>
  </si>
  <si>
    <t>Chateau Gardens Condo
311 Liberty St Hollywood</t>
  </si>
  <si>
    <t>PAID IN FULL 7/21/25</t>
  </si>
  <si>
    <t>Raymond Ortiz
c/o Keven Kane
3954 NW 63rd Terrace
Coral Springs, Fl  33067</t>
  </si>
  <si>
    <t>PAID IN FULL 6/12/25</t>
  </si>
  <si>
    <t>Regent Park Condo          1900 Van Buren Street  Hollywood, Fl 33020</t>
  </si>
  <si>
    <t>Pressure Clean</t>
  </si>
  <si>
    <t>job completed 6.10.25 paid in full</t>
  </si>
  <si>
    <t>Warranty</t>
  </si>
  <si>
    <t>3 roof repairs</t>
  </si>
  <si>
    <t>completed and paid</t>
  </si>
  <si>
    <t>Onclave Boca Dunes
10214 Akenside Drive
Boca Raton, Fl  33428</t>
  </si>
  <si>
    <t>Tile repairs</t>
  </si>
  <si>
    <t>Gerald Legow - 4</t>
  </si>
  <si>
    <t>Bob Porter</t>
  </si>
  <si>
    <t>SPF over Flat Roof</t>
  </si>
  <si>
    <t xml:space="preserve">Casablanca Isles </t>
  </si>
  <si>
    <t>Tile Replacement</t>
  </si>
  <si>
    <t>HASIB MOHAMMED</t>
  </si>
  <si>
    <t>ROBERT MORIN MORSE LIFE</t>
  </si>
  <si>
    <t xml:space="preserve">Allsteel &amp; Gypsum Products    1250 NW 23rd Avenue Ft. Lauderdale, Fl </t>
  </si>
  <si>
    <t>Fliori Financial Group</t>
  </si>
  <si>
    <t>Leak Repair</t>
  </si>
  <si>
    <t>Leroy McKenzie</t>
  </si>
  <si>
    <t>Midtown Manor</t>
  </si>
  <si>
    <t>Inv no 43048 - Final Payment</t>
  </si>
  <si>
    <t>Inv no 42047</t>
  </si>
  <si>
    <t>Palm Aire Condo 6-Campbell-3655</t>
  </si>
  <si>
    <t>Inv no 43202 - Service Call - Water Test</t>
  </si>
  <si>
    <t>Panda Catering</t>
  </si>
  <si>
    <t>Active Maintenance Projects</t>
  </si>
  <si>
    <t>Maintenance Info.</t>
  </si>
  <si>
    <t>Maint. Status</t>
  </si>
  <si>
    <t>Maintenance Bookkeeping</t>
  </si>
  <si>
    <t>Cheryl Newton</t>
  </si>
  <si>
    <t>Pressue Clean</t>
  </si>
  <si>
    <t>Kim Cronin</t>
  </si>
  <si>
    <t>Aisha Eckroth</t>
  </si>
  <si>
    <t>financing 200$ per Santiagio contract terms</t>
  </si>
  <si>
    <t>Peggy Salomone</t>
  </si>
  <si>
    <t>Pressure Wash/Recoat</t>
  </si>
  <si>
    <t xml:space="preserve">Tradewinds Condo Assn </t>
  </si>
  <si>
    <t>Marseilles Court at the Fountains</t>
  </si>
  <si>
    <t>Tom Jeffers</t>
  </si>
  <si>
    <t>Robert &amp; Rose (Luke Residence)</t>
  </si>
  <si>
    <t>PAID IN FULL 8/12/25</t>
  </si>
  <si>
    <t>Starlight Towers</t>
  </si>
  <si>
    <t>PAID IN FULL 8/13/25</t>
  </si>
  <si>
    <t xml:space="preserve">ANTHONY RAWSON </t>
  </si>
  <si>
    <t xml:space="preserve">Garry </t>
  </si>
  <si>
    <t xml:space="preserve">Need to pick up check </t>
  </si>
  <si>
    <t>Seagate @ Gulfstream</t>
  </si>
  <si>
    <t>Inv no 43560 - Roof Maintenance</t>
  </si>
  <si>
    <t>Perry Klimas</t>
  </si>
  <si>
    <t>Pressure Wash</t>
  </si>
  <si>
    <t>Inv no 43597 - Gen. Roof cleaning</t>
  </si>
  <si>
    <t>Parkview Point Condos</t>
  </si>
  <si>
    <t>paid in full 9/19/25</t>
  </si>
  <si>
    <t>Berger Commercial Realty
JMA Investment
2075-2197 North Powerline Rd.
Pompano Beach, FL  33069</t>
  </si>
  <si>
    <t>Pressure wash</t>
  </si>
  <si>
    <t>50% balance due awating check payment</t>
  </si>
  <si>
    <t>Berger Commercial Realty
Marketplace plaza 3662-3704 West Oakland Park</t>
  </si>
  <si>
    <t>pressue wash</t>
  </si>
  <si>
    <t>pending completion</t>
  </si>
  <si>
    <t>Portabella Townhomes
780 Jeffery Street
Boca Raton, FL  33487</t>
  </si>
  <si>
    <t>Darlene &amp; Jorge</t>
  </si>
  <si>
    <t>PAID IN FULL 8/10/25</t>
  </si>
  <si>
    <t>Ed &amp; Pamela                               6341 NE 15 AVE FORT LAUDERDALE, FL 33334</t>
  </si>
  <si>
    <t>paid in full 10/20/25</t>
  </si>
  <si>
    <t>Palm Aire Condo #6
(Patio Homes)</t>
  </si>
  <si>
    <t>invoiced 50% deposit payment pending 9/4/25</t>
  </si>
  <si>
    <t>Palm Aire Condo #6
(Villas)</t>
  </si>
  <si>
    <t>Palm Aire Condo #6
(Building 78A)</t>
  </si>
  <si>
    <t>Palm Aire Condo #6
(Building 77)</t>
  </si>
  <si>
    <t>Palm Aire Condo #6
(Building 76)</t>
  </si>
  <si>
    <t>Palm Aire Condo #6
(Building 75)</t>
  </si>
  <si>
    <t>Palm Aire Condo #6
(Building 74)</t>
  </si>
  <si>
    <t>Palm Aire Condo #6
(Building 73)</t>
  </si>
  <si>
    <t>Palm Aire Condo #6
(Building 72)</t>
  </si>
  <si>
    <t>Palm Aire Condo #6
(Building 71)</t>
  </si>
  <si>
    <t>Palm Aire Condo #6
(Building 70)</t>
  </si>
  <si>
    <t>Cypress Creek Condos</t>
  </si>
  <si>
    <t>project not started yet</t>
  </si>
  <si>
    <t>Coral Gables Granda</t>
  </si>
  <si>
    <t xml:space="preserve">Maintenance </t>
  </si>
  <si>
    <t>awaiting payment</t>
  </si>
  <si>
    <t>Country Club Towers Coral Springs</t>
  </si>
  <si>
    <t>Gabreilla</t>
  </si>
  <si>
    <t xml:space="preserve">Patricia Chichester 908 SW 6 Ave boynton beach </t>
  </si>
  <si>
    <t>roof cleaning</t>
  </si>
  <si>
    <t>paid in full  9/19/25</t>
  </si>
  <si>
    <t>Patricia Chichester 908 SW 6 Ave boynton beach</t>
  </si>
  <si>
    <t>contract signed 1/5/26 paid 50% deposit 50% balance paid with CC 1/29/26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</si>
</sst>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  <numFmt numFmtId="165" formatCode="&quot;$&quot;#,##0"/>
    <numFmt numFmtId="166" formatCode="_([$$-409]* #,##0.00_);_([$$-409]* \(#,##0.00\);_([$$-409]* &quot;-&quot;??_);_(@_)"/>
  </numFmts>
  <fonts count="8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u/>
      <sz val="68"/>
      <color theme="1"/>
      <name val="Cambria"/>
      <family val="1"/>
    </font>
    <font>
      <b/>
      <sz val="36"/>
      <color theme="1"/>
      <name val="Cambria"/>
      <family val="1"/>
    </font>
    <font>
      <b/>
      <sz val="19"/>
      <color theme="1"/>
      <name val="Cambria"/>
      <family val="1"/>
    </font>
    <font>
      <b/>
      <sz val="36"/>
      <color theme="1"/>
      <name val="Aptos Narrow"/>
      <family val="2"/>
      <scheme val="minor"/>
    </font>
    <font>
      <b/>
      <sz val="68"/>
      <color theme="1"/>
      <name val="Cambria"/>
      <family val="1"/>
    </font>
    <font>
      <b/>
      <sz val="20"/>
      <color theme="1"/>
      <name val="Cambria"/>
      <family val="1"/>
    </font>
    <font>
      <b/>
      <sz val="26"/>
      <color theme="1"/>
      <name val="Cambria"/>
      <family val="1"/>
    </font>
    <font>
      <b/>
      <sz val="12"/>
      <color theme="1"/>
      <name val="Cambria"/>
      <family val="1"/>
    </font>
    <font>
      <b/>
      <sz val="18"/>
      <color theme="1"/>
      <name val="Cambria"/>
      <family val="1"/>
    </font>
    <font>
      <sz val="14"/>
      <color theme="1"/>
      <name val="Aptos Narrow"/>
      <family val="2"/>
      <scheme val="minor"/>
    </font>
    <font>
      <b/>
      <sz val="14"/>
      <color theme="1"/>
      <name val="Cambria, serif"/>
    </font>
    <font>
      <sz val="14"/>
      <color theme="1"/>
      <name val="Cambria, serif"/>
    </font>
    <font>
      <sz val="12"/>
      <color theme="1"/>
      <name val="Cambria"/>
      <family val="1"/>
    </font>
    <font>
      <sz val="10"/>
      <color rgb="FF000000"/>
      <name val="Aptos Narrow"/>
      <family val="2"/>
      <scheme val="minor"/>
    </font>
    <font>
      <b/>
      <sz val="14"/>
      <color theme="1"/>
      <name val="Cambria"/>
      <family val="1"/>
    </font>
    <font>
      <b/>
      <sz val="14"/>
      <color rgb="FF000000"/>
      <name val="Calibri, sans-serif"/>
    </font>
    <font>
      <sz val="14"/>
      <color rgb="FF000000"/>
      <name val="Calibri, sans-serif"/>
    </font>
    <font>
      <b/>
      <sz val="14"/>
      <color theme="1"/>
      <name val="Calibri, sans-serif"/>
    </font>
    <font>
      <sz val="14"/>
      <color theme="1"/>
      <name val="Calibri, sans-serif"/>
    </font>
    <font>
      <b/>
      <sz val="14"/>
      <color theme="1"/>
      <name val="Calibri"/>
      <family val="2"/>
    </font>
    <font>
      <b/>
      <sz val="12"/>
      <color rgb="FF000000"/>
      <name val="Aptos Narrow"/>
      <family val="2"/>
      <scheme val="minor"/>
    </font>
    <font>
      <b/>
      <sz val="12"/>
      <color rgb="FFFF0000"/>
      <name val="Cambria"/>
      <family val="1"/>
    </font>
    <font>
      <u/>
      <sz val="10"/>
      <color rgb="FF0000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u/>
      <sz val="14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u/>
      <sz val="36"/>
      <color rgb="FF000000"/>
      <name val="Arial"/>
      <family val="2"/>
    </font>
    <font>
      <b/>
      <sz val="20"/>
      <color theme="1"/>
      <name val="Aptos Narrow"/>
      <family val="2"/>
      <scheme val="minor"/>
    </font>
    <font>
      <sz val="14"/>
      <color theme="1"/>
      <name val="Cambria"/>
      <family val="1"/>
    </font>
    <font>
      <sz val="12"/>
      <color theme="1"/>
      <name val="Aptos"/>
      <family val="2"/>
    </font>
    <font>
      <b/>
      <sz val="16"/>
      <color theme="1"/>
      <name val="Cambria"/>
      <family val="1"/>
    </font>
    <font>
      <b/>
      <sz val="14"/>
      <color rgb="FF000000"/>
      <name val="Aptos Narrow"/>
      <family val="2"/>
    </font>
    <font>
      <b/>
      <sz val="11"/>
      <color theme="1"/>
      <name val="Arial"/>
      <family val="2"/>
    </font>
    <font>
      <b/>
      <sz val="12"/>
      <color theme="1"/>
      <name val="Aptos"/>
      <family val="2"/>
    </font>
    <font>
      <sz val="12"/>
      <color rgb="FF000000"/>
      <name val="Arial"/>
      <family val="2"/>
    </font>
    <font>
      <b/>
      <u/>
      <sz val="36"/>
      <color theme="1"/>
      <name val="Cambria"/>
      <family val="1"/>
    </font>
    <font>
      <i/>
      <sz val="14"/>
      <color theme="1"/>
      <name val="Cambria, serif"/>
    </font>
    <font>
      <b/>
      <sz val="10"/>
      <color theme="1"/>
      <name val="Cambria"/>
      <family val="1"/>
    </font>
    <font>
      <b/>
      <sz val="10"/>
      <color rgb="FFFF0000"/>
      <name val="Cambria"/>
      <family val="1"/>
    </font>
    <font>
      <sz val="8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u/>
      <sz val="12"/>
      <color theme="1"/>
      <name val="Cambria"/>
      <family val="1"/>
    </font>
    <font>
      <sz val="14"/>
      <color rgb="FF000000"/>
      <name val="Arial"/>
      <family val="2"/>
    </font>
    <font>
      <sz val="14"/>
      <color theme="1"/>
      <name val="Aptos"/>
      <family val="2"/>
    </font>
    <font>
      <u/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1"/>
      <color rgb="FFFF0000"/>
      <name val="Cambria"/>
      <family val="1"/>
    </font>
    <font>
      <sz val="18"/>
      <color theme="1"/>
      <name val="Aptos Narrow"/>
      <family val="2"/>
      <scheme val="minor"/>
    </font>
    <font>
      <sz val="18"/>
      <color rgb="FF000000"/>
      <name val="Cambria"/>
      <family val="1"/>
    </font>
    <font>
      <sz val="18"/>
      <color theme="1"/>
      <name val="Cambria"/>
      <family val="1"/>
    </font>
    <font>
      <sz val="18"/>
      <color theme="1"/>
      <name val="Aptos"/>
      <family val="2"/>
    </font>
    <font>
      <sz val="16"/>
      <color theme="1"/>
      <name val="Aptos Narrow"/>
      <family val="2"/>
      <scheme val="minor"/>
    </font>
    <font>
      <sz val="12"/>
      <color theme="1"/>
      <name val="Arial"/>
    </font>
    <font>
      <sz val="12"/>
      <color rgb="FF000000"/>
      <name val="Arial"/>
    </font>
    <font>
      <b/>
      <sz val="12"/>
      <color theme="1"/>
      <name val="Arial"/>
    </font>
    <font>
      <sz val="14"/>
      <color rgb="FFFF0000"/>
      <name val="Arial"/>
    </font>
    <font>
      <b/>
      <u/>
      <sz val="12"/>
      <color rgb="FF000000"/>
      <name val="Arial"/>
    </font>
    <font>
      <sz val="36"/>
      <color theme="1"/>
      <name val="Aptos Narrow"/>
      <family val="2"/>
      <scheme val="minor"/>
    </font>
    <font>
      <b/>
      <sz val="28"/>
      <color theme="1"/>
      <name val="Cambria"/>
      <family val="1"/>
    </font>
    <font>
      <b/>
      <u/>
      <sz val="28"/>
      <color theme="1"/>
      <name val="Cambria"/>
      <family val="1"/>
    </font>
    <font>
      <sz val="28"/>
      <color theme="1"/>
      <name val="Aptos Narrow"/>
      <family val="2"/>
      <scheme val="minor"/>
    </font>
    <font>
      <b/>
      <sz val="28"/>
      <color theme="1"/>
      <name val="Aptos Narrow"/>
      <family val="2"/>
      <scheme val="minor"/>
    </font>
    <font>
      <sz val="26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u/>
      <sz val="26"/>
      <color theme="1"/>
      <name val="Cambria"/>
      <family val="1"/>
    </font>
    <font>
      <sz val="12"/>
      <color rgb="FFFF0000"/>
      <name val="Arial"/>
    </font>
    <font>
      <b/>
      <sz val="12"/>
      <color rgb="FFFF0000"/>
      <name val="Arial"/>
    </font>
    <font>
      <b/>
      <sz val="11"/>
      <color theme="1"/>
      <name val="Aptos Narrow"/>
      <family val="2"/>
      <scheme val="minor"/>
    </font>
    <font>
      <sz val="16"/>
      <color theme="1"/>
      <name val="Cambria"/>
      <family val="1"/>
    </font>
    <font>
      <b/>
      <sz val="14"/>
      <color rgb="FFFF0000"/>
      <name val="Cambria"/>
      <family val="1"/>
    </font>
    <font>
      <b/>
      <sz val="12"/>
      <color rgb="FF000000"/>
      <name val="Aptos"/>
      <charset val="1"/>
    </font>
    <font>
      <b/>
      <sz val="12"/>
      <color theme="1"/>
      <name val="Arial"/>
      <family val="2"/>
    </font>
    <font>
      <b/>
      <sz val="12"/>
      <color rgb="FFFF0000"/>
      <name val="Arial"/>
      <family val="2"/>
    </font>
    <font>
      <b/>
      <sz val="12"/>
      <color rgb="FF000000"/>
      <name val="Cambria"/>
      <family val="1"/>
    </font>
  </fonts>
  <fills count="21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D966"/>
        <bgColor rgb="FFFFD966"/>
      </patternFill>
    </fill>
    <fill>
      <patternFill patternType="solid">
        <fgColor rgb="FF92D050"/>
        <bgColor rgb="FFD5A6BD"/>
      </patternFill>
    </fill>
    <fill>
      <patternFill patternType="solid">
        <fgColor rgb="FFEFEFEF"/>
        <bgColor rgb="FFEFEFEF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rgb="FFD5A6BD"/>
      </patternFill>
    </fill>
    <fill>
      <patternFill patternType="solid">
        <fgColor rgb="FFFFC000"/>
        <bgColor rgb="FFFFD966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rgb="FFF6B26B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6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7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5" fillId="0" borderId="0"/>
    <xf numFmtId="9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0" fontId="15" fillId="0" borderId="0"/>
  </cellStyleXfs>
  <cellXfs count="398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left"/>
    </xf>
    <xf numFmtId="0" fontId="7" fillId="0" borderId="0" xfId="0" applyFont="1" applyAlignment="1">
      <alignment horizontal="right" vertical="center"/>
    </xf>
    <xf numFmtId="0" fontId="11" fillId="0" borderId="0" xfId="0" applyFont="1"/>
    <xf numFmtId="164" fontId="9" fillId="0" borderId="7" xfId="0" applyNumberFormat="1" applyFont="1" applyBorder="1" applyAlignment="1">
      <alignment horizontal="center" vertical="center"/>
    </xf>
    <xf numFmtId="9" fontId="9" fillId="0" borderId="7" xfId="2" applyFont="1" applyBorder="1" applyAlignment="1">
      <alignment horizontal="center" vertical="center"/>
    </xf>
    <xf numFmtId="164" fontId="9" fillId="3" borderId="7" xfId="0" applyNumberFormat="1" applyFont="1" applyFill="1" applyBorder="1" applyAlignment="1">
      <alignment horizontal="center" vertical="center"/>
    </xf>
    <xf numFmtId="164" fontId="0" fillId="0" borderId="0" xfId="0" applyNumberFormat="1"/>
    <xf numFmtId="0" fontId="14" fillId="0" borderId="13" xfId="0" applyFont="1" applyBorder="1" applyAlignment="1">
      <alignment horizontal="center" vertical="center"/>
    </xf>
    <xf numFmtId="164" fontId="9" fillId="0" borderId="13" xfId="0" applyNumberFormat="1" applyFont="1" applyBorder="1" applyAlignment="1">
      <alignment horizontal="center" vertical="center"/>
    </xf>
    <xf numFmtId="0" fontId="19" fillId="0" borderId="8" xfId="0" applyFont="1" applyBorder="1" applyAlignment="1">
      <alignment horizontal="left" vertical="center" wrapText="1"/>
    </xf>
    <xf numFmtId="0" fontId="17" fillId="0" borderId="8" xfId="0" applyFont="1" applyBorder="1" applyAlignment="1">
      <alignment horizontal="left" vertical="center" wrapText="1"/>
    </xf>
    <xf numFmtId="0" fontId="16" fillId="0" borderId="8" xfId="0" applyFont="1" applyBorder="1" applyAlignment="1">
      <alignment horizontal="left" vertical="center" wrapText="1"/>
    </xf>
    <xf numFmtId="0" fontId="21" fillId="0" borderId="8" xfId="0" applyFont="1" applyBorder="1" applyAlignment="1">
      <alignment horizontal="left" vertical="center" wrapText="1"/>
    </xf>
    <xf numFmtId="0" fontId="12" fillId="0" borderId="8" xfId="0" applyFont="1" applyBorder="1" applyAlignment="1">
      <alignment horizontal="left" vertical="center" wrapText="1"/>
    </xf>
    <xf numFmtId="0" fontId="14" fillId="0" borderId="5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/>
    </xf>
    <xf numFmtId="165" fontId="0" fillId="0" borderId="0" xfId="0" applyNumberFormat="1"/>
    <xf numFmtId="0" fontId="0" fillId="0" borderId="0" xfId="0" applyAlignment="1">
      <alignment horizontal="right"/>
    </xf>
    <xf numFmtId="44" fontId="0" fillId="0" borderId="0" xfId="1" applyFont="1"/>
    <xf numFmtId="0" fontId="14" fillId="0" borderId="0" xfId="0" applyFont="1" applyAlignment="1">
      <alignment horizontal="center" vertical="center"/>
    </xf>
    <xf numFmtId="0" fontId="15" fillId="0" borderId="0" xfId="3"/>
    <xf numFmtId="0" fontId="24" fillId="0" borderId="0" xfId="3" applyFont="1"/>
    <xf numFmtId="0" fontId="25" fillId="0" borderId="0" xfId="3" applyFont="1"/>
    <xf numFmtId="0" fontId="26" fillId="0" borderId="0" xfId="3" applyFont="1" applyAlignment="1">
      <alignment horizontal="center" vertical="center"/>
    </xf>
    <xf numFmtId="0" fontId="15" fillId="0" borderId="0" xfId="3" applyAlignment="1">
      <alignment wrapText="1"/>
    </xf>
    <xf numFmtId="0" fontId="27" fillId="0" borderId="0" xfId="3" applyFont="1"/>
    <xf numFmtId="9" fontId="30" fillId="0" borderId="0" xfId="4" applyFont="1" applyBorder="1"/>
    <xf numFmtId="164" fontId="30" fillId="0" borderId="0" xfId="3" applyNumberFormat="1" applyFont="1"/>
    <xf numFmtId="0" fontId="27" fillId="0" borderId="3" xfId="3" applyFont="1" applyBorder="1" applyAlignment="1">
      <alignment horizontal="center"/>
    </xf>
    <xf numFmtId="0" fontId="30" fillId="0" borderId="20" xfId="3" applyFont="1" applyBorder="1" applyAlignment="1">
      <alignment horizontal="center" vertical="center"/>
    </xf>
    <xf numFmtId="164" fontId="30" fillId="0" borderId="22" xfId="3" applyNumberFormat="1" applyFont="1" applyBorder="1"/>
    <xf numFmtId="0" fontId="28" fillId="0" borderId="0" xfId="3" applyFont="1" applyAlignment="1">
      <alignment horizontal="center"/>
    </xf>
    <xf numFmtId="0" fontId="27" fillId="0" borderId="0" xfId="3" applyFont="1" applyAlignment="1">
      <alignment horizontal="right"/>
    </xf>
    <xf numFmtId="0" fontId="30" fillId="0" borderId="0" xfId="3" applyFont="1"/>
    <xf numFmtId="9" fontId="30" fillId="0" borderId="0" xfId="4" applyFont="1" applyFill="1" applyBorder="1"/>
    <xf numFmtId="0" fontId="30" fillId="0" borderId="24" xfId="3" applyFont="1" applyBorder="1" applyAlignment="1">
      <alignment horizontal="center" vertical="center"/>
    </xf>
    <xf numFmtId="0" fontId="27" fillId="2" borderId="23" xfId="3" applyFont="1" applyFill="1" applyBorder="1" applyAlignment="1">
      <alignment horizontal="center"/>
    </xf>
    <xf numFmtId="0" fontId="30" fillId="0" borderId="15" xfId="3" applyFont="1" applyBorder="1" applyAlignment="1">
      <alignment horizontal="center" vertical="center"/>
    </xf>
    <xf numFmtId="0" fontId="30" fillId="0" borderId="26" xfId="3" applyFont="1" applyBorder="1" applyAlignment="1">
      <alignment horizontal="center"/>
    </xf>
    <xf numFmtId="164" fontId="30" fillId="0" borderId="27" xfId="3" applyNumberFormat="1" applyFont="1" applyBorder="1"/>
    <xf numFmtId="0" fontId="27" fillId="7" borderId="23" xfId="3" applyFont="1" applyFill="1" applyBorder="1" applyAlignment="1">
      <alignment horizontal="center"/>
    </xf>
    <xf numFmtId="0" fontId="30" fillId="0" borderId="28" xfId="3" applyFont="1" applyBorder="1" applyAlignment="1">
      <alignment horizontal="center" vertical="center"/>
    </xf>
    <xf numFmtId="164" fontId="30" fillId="0" borderId="29" xfId="3" applyNumberFormat="1" applyFont="1" applyBorder="1"/>
    <xf numFmtId="164" fontId="30" fillId="0" borderId="30" xfId="3" applyNumberFormat="1" applyFont="1" applyBorder="1"/>
    <xf numFmtId="0" fontId="29" fillId="10" borderId="3" xfId="3" applyFont="1" applyFill="1" applyBorder="1" applyAlignment="1">
      <alignment horizontal="center"/>
    </xf>
    <xf numFmtId="0" fontId="29" fillId="11" borderId="3" xfId="3" applyFont="1" applyFill="1" applyBorder="1" applyAlignment="1">
      <alignment horizontal="center"/>
    </xf>
    <xf numFmtId="14" fontId="14" fillId="0" borderId="35" xfId="0" applyNumberFormat="1" applyFont="1" applyBorder="1" applyAlignment="1">
      <alignment horizontal="center" vertical="center"/>
    </xf>
    <xf numFmtId="0" fontId="30" fillId="0" borderId="7" xfId="0" applyFont="1" applyBorder="1" applyAlignment="1">
      <alignment horizontal="center" vertical="center"/>
    </xf>
    <xf numFmtId="0" fontId="34" fillId="0" borderId="7" xfId="0" applyFont="1" applyBorder="1" applyAlignment="1">
      <alignment horizontal="center" vertical="center" wrapText="1"/>
    </xf>
    <xf numFmtId="0" fontId="16" fillId="0" borderId="0" xfId="0" applyFont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0" fontId="0" fillId="0" borderId="8" xfId="0" applyBorder="1"/>
    <xf numFmtId="0" fontId="17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164" fontId="9" fillId="0" borderId="10" xfId="0" applyNumberFormat="1" applyFont="1" applyBorder="1" applyAlignment="1">
      <alignment horizontal="center" vertical="center"/>
    </xf>
    <xf numFmtId="0" fontId="34" fillId="0" borderId="0" xfId="0" applyFont="1" applyAlignment="1">
      <alignment horizontal="center" vertical="center" wrapText="1"/>
    </xf>
    <xf numFmtId="14" fontId="3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9" fontId="9" fillId="0" borderId="10" xfId="2" applyFont="1" applyBorder="1" applyAlignment="1">
      <alignment horizontal="center" vertical="center"/>
    </xf>
    <xf numFmtId="0" fontId="38" fillId="0" borderId="0" xfId="0" applyFont="1" applyAlignment="1">
      <alignment wrapText="1"/>
    </xf>
    <xf numFmtId="14" fontId="14" fillId="0" borderId="0" xfId="0" applyNumberFormat="1" applyFont="1" applyAlignment="1">
      <alignment horizontal="center" vertical="center"/>
    </xf>
    <xf numFmtId="0" fontId="14" fillId="0" borderId="31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left" vertical="center" wrapText="1"/>
    </xf>
    <xf numFmtId="0" fontId="14" fillId="0" borderId="31" xfId="0" applyFont="1" applyBorder="1" applyAlignment="1">
      <alignment horizontal="center" vertical="center"/>
    </xf>
    <xf numFmtId="0" fontId="39" fillId="0" borderId="33" xfId="0" applyFont="1" applyBorder="1" applyAlignment="1">
      <alignment wrapText="1"/>
    </xf>
    <xf numFmtId="0" fontId="39" fillId="0" borderId="33" xfId="0" applyFont="1" applyBorder="1"/>
    <xf numFmtId="0" fontId="14" fillId="0" borderId="40" xfId="0" applyFont="1" applyBorder="1" applyAlignment="1">
      <alignment horizontal="center" vertical="center"/>
    </xf>
    <xf numFmtId="0" fontId="14" fillId="0" borderId="39" xfId="0" applyFont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40" fillId="0" borderId="0" xfId="0" applyFont="1" applyAlignment="1">
      <alignment horizontal="left" vertical="center" wrapText="1"/>
    </xf>
    <xf numFmtId="0" fontId="34" fillId="0" borderId="0" xfId="0" applyFont="1" applyAlignment="1">
      <alignment horizontal="left" vertical="center" wrapText="1"/>
    </xf>
    <xf numFmtId="0" fontId="35" fillId="0" borderId="0" xfId="0" applyFont="1" applyAlignment="1">
      <alignment horizontal="left" vertical="center" wrapText="1"/>
    </xf>
    <xf numFmtId="0" fontId="37" fillId="0" borderId="0" xfId="0" applyFont="1" applyAlignment="1">
      <alignment horizontal="left"/>
    </xf>
    <xf numFmtId="0" fontId="31" fillId="0" borderId="0" xfId="0" applyFont="1" applyAlignment="1">
      <alignment horizontal="left" wrapText="1"/>
    </xf>
    <xf numFmtId="0" fontId="9" fillId="5" borderId="3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17" fillId="0" borderId="7" xfId="0" applyFont="1" applyBorder="1" applyAlignment="1">
      <alignment horizontal="left" vertical="center" wrapText="1"/>
    </xf>
    <xf numFmtId="0" fontId="12" fillId="0" borderId="7" xfId="0" applyFont="1" applyBorder="1" applyAlignment="1">
      <alignment horizontal="left" vertical="center" wrapText="1"/>
    </xf>
    <xf numFmtId="0" fontId="21" fillId="0" borderId="7" xfId="0" applyFont="1" applyBorder="1" applyAlignment="1">
      <alignment horizontal="left" vertical="center" wrapText="1"/>
    </xf>
    <xf numFmtId="0" fontId="19" fillId="0" borderId="7" xfId="0" applyFont="1" applyBorder="1" applyAlignment="1">
      <alignment horizontal="left" vertical="center" wrapText="1"/>
    </xf>
    <xf numFmtId="164" fontId="9" fillId="0" borderId="6" xfId="0" applyNumberFormat="1" applyFont="1" applyBorder="1" applyAlignment="1">
      <alignment horizontal="center" vertical="center"/>
    </xf>
    <xf numFmtId="164" fontId="9" fillId="3" borderId="6" xfId="0" applyNumberFormat="1" applyFont="1" applyFill="1" applyBorder="1" applyAlignment="1">
      <alignment horizontal="center" vertical="center"/>
    </xf>
    <xf numFmtId="165" fontId="9" fillId="0" borderId="6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36" fillId="0" borderId="0" xfId="0" applyFont="1" applyAlignment="1">
      <alignment horizontal="right"/>
    </xf>
    <xf numFmtId="0" fontId="36" fillId="0" borderId="0" xfId="0" applyFont="1" applyAlignment="1">
      <alignment horizontal="center"/>
    </xf>
    <xf numFmtId="0" fontId="34" fillId="0" borderId="7" xfId="0" applyFont="1" applyBorder="1" applyAlignment="1">
      <alignment horizontal="center" vertical="center"/>
    </xf>
    <xf numFmtId="0" fontId="34" fillId="0" borderId="8" xfId="0" applyFont="1" applyBorder="1" applyAlignment="1">
      <alignment horizontal="center" vertical="center"/>
    </xf>
    <xf numFmtId="165" fontId="34" fillId="0" borderId="8" xfId="0" applyNumberFormat="1" applyFont="1" applyBorder="1" applyAlignment="1">
      <alignment horizontal="center" vertical="center"/>
    </xf>
    <xf numFmtId="0" fontId="34" fillId="3" borderId="8" xfId="0" applyFont="1" applyFill="1" applyBorder="1" applyAlignment="1">
      <alignment horizontal="center" vertical="center"/>
    </xf>
    <xf numFmtId="0" fontId="34" fillId="3" borderId="7" xfId="0" applyFont="1" applyFill="1" applyBorder="1" applyAlignment="1">
      <alignment horizontal="center" vertical="center" wrapText="1"/>
    </xf>
    <xf numFmtId="0" fontId="34" fillId="3" borderId="7" xfId="0" applyFont="1" applyFill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36" fillId="0" borderId="35" xfId="0" applyFont="1" applyBorder="1" applyAlignment="1">
      <alignment horizontal="center" vertical="center"/>
    </xf>
    <xf numFmtId="0" fontId="36" fillId="9" borderId="35" xfId="0" applyFont="1" applyFill="1" applyBorder="1" applyAlignment="1">
      <alignment horizontal="center" vertical="center"/>
    </xf>
    <xf numFmtId="0" fontId="36" fillId="12" borderId="35" xfId="0" applyFont="1" applyFill="1" applyBorder="1" applyAlignment="1">
      <alignment horizontal="center" vertical="center"/>
    </xf>
    <xf numFmtId="0" fontId="44" fillId="5" borderId="3" xfId="0" applyFont="1" applyFill="1" applyBorder="1" applyAlignment="1">
      <alignment horizontal="center" vertical="center" wrapText="1"/>
    </xf>
    <xf numFmtId="0" fontId="43" fillId="5" borderId="4" xfId="0" applyFont="1" applyFill="1" applyBorder="1" applyAlignment="1">
      <alignment horizontal="center" vertical="center" wrapText="1"/>
    </xf>
    <xf numFmtId="0" fontId="45" fillId="0" borderId="0" xfId="0" applyFont="1"/>
    <xf numFmtId="164" fontId="9" fillId="0" borderId="9" xfId="0" applyNumberFormat="1" applyFont="1" applyBorder="1" applyAlignment="1">
      <alignment horizontal="center" vertical="center"/>
    </xf>
    <xf numFmtId="0" fontId="28" fillId="8" borderId="0" xfId="3" applyFont="1" applyFill="1" applyAlignment="1">
      <alignment horizontal="right"/>
    </xf>
    <xf numFmtId="164" fontId="23" fillId="0" borderId="7" xfId="0" applyNumberFormat="1" applyFont="1" applyBorder="1" applyAlignment="1">
      <alignment horizontal="center" vertical="center"/>
    </xf>
    <xf numFmtId="9" fontId="9" fillId="0" borderId="7" xfId="2" applyFont="1" applyFill="1" applyBorder="1" applyAlignment="1">
      <alignment horizontal="center" vertical="center"/>
    </xf>
    <xf numFmtId="0" fontId="0" fillId="0" borderId="32" xfId="0" applyBorder="1"/>
    <xf numFmtId="0" fontId="34" fillId="0" borderId="44" xfId="0" applyFont="1" applyBorder="1" applyAlignment="1">
      <alignment horizontal="left" vertical="center" wrapText="1"/>
    </xf>
    <xf numFmtId="0" fontId="37" fillId="0" borderId="44" xfId="0" applyFont="1" applyBorder="1" applyAlignment="1">
      <alignment horizontal="left"/>
    </xf>
    <xf numFmtId="0" fontId="34" fillId="0" borderId="41" xfId="0" applyFont="1" applyBorder="1" applyAlignment="1">
      <alignment horizontal="left" vertical="center" wrapText="1"/>
    </xf>
    <xf numFmtId="0" fontId="34" fillId="0" borderId="35" xfId="0" applyFont="1" applyBorder="1" applyAlignment="1">
      <alignment horizontal="left" vertical="center" wrapText="1"/>
    </xf>
    <xf numFmtId="0" fontId="34" fillId="0" borderId="38" xfId="0" applyFont="1" applyBorder="1" applyAlignment="1">
      <alignment horizontal="left" vertical="center" wrapText="1"/>
    </xf>
    <xf numFmtId="0" fontId="31" fillId="0" borderId="44" xfId="0" applyFont="1" applyBorder="1" applyAlignment="1">
      <alignment horizontal="left" wrapText="1"/>
    </xf>
    <xf numFmtId="0" fontId="34" fillId="0" borderId="8" xfId="0" applyFont="1" applyBorder="1" applyAlignment="1">
      <alignment horizontal="center" vertical="center" wrapText="1"/>
    </xf>
    <xf numFmtId="0" fontId="28" fillId="0" borderId="7" xfId="0" applyFont="1" applyBorder="1" applyAlignment="1">
      <alignment horizontal="center" vertical="center"/>
    </xf>
    <xf numFmtId="164" fontId="23" fillId="0" borderId="10" xfId="0" applyNumberFormat="1" applyFont="1" applyBorder="1" applyAlignment="1">
      <alignment horizontal="center" vertical="center"/>
    </xf>
    <xf numFmtId="0" fontId="23" fillId="5" borderId="3" xfId="0" applyFont="1" applyFill="1" applyBorder="1" applyAlignment="1">
      <alignment horizontal="center" vertical="center" wrapText="1"/>
    </xf>
    <xf numFmtId="0" fontId="36" fillId="0" borderId="41" xfId="0" applyFont="1" applyBorder="1" applyAlignment="1">
      <alignment horizontal="center" vertical="center"/>
    </xf>
    <xf numFmtId="0" fontId="10" fillId="0" borderId="37" xfId="0" applyFont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 wrapText="1"/>
    </xf>
    <xf numFmtId="0" fontId="17" fillId="0" borderId="10" xfId="0" applyFont="1" applyBorder="1" applyAlignment="1">
      <alignment horizontal="left" vertical="center" wrapText="1"/>
    </xf>
    <xf numFmtId="0" fontId="34" fillId="0" borderId="10" xfId="0" applyFont="1" applyBorder="1" applyAlignment="1">
      <alignment horizontal="center" vertical="center" wrapText="1"/>
    </xf>
    <xf numFmtId="0" fontId="34" fillId="0" borderId="10" xfId="0" applyFont="1" applyBorder="1" applyAlignment="1">
      <alignment horizontal="center" vertical="center"/>
    </xf>
    <xf numFmtId="0" fontId="34" fillId="0" borderId="34" xfId="0" applyFont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43" fillId="5" borderId="3" xfId="0" applyFont="1" applyFill="1" applyBorder="1" applyAlignment="1">
      <alignment horizontal="center" vertical="center" wrapText="1"/>
    </xf>
    <xf numFmtId="0" fontId="43" fillId="5" borderId="1" xfId="0" applyFont="1" applyFill="1" applyBorder="1" applyAlignment="1">
      <alignment horizontal="center" vertical="center" wrapText="1"/>
    </xf>
    <xf numFmtId="0" fontId="48" fillId="0" borderId="0" xfId="0" applyFont="1" applyAlignment="1">
      <alignment horizontal="center" vertical="center"/>
    </xf>
    <xf numFmtId="0" fontId="46" fillId="0" borderId="0" xfId="0" applyFont="1"/>
    <xf numFmtId="0" fontId="46" fillId="0" borderId="41" xfId="0" applyFont="1" applyBorder="1"/>
    <xf numFmtId="0" fontId="46" fillId="0" borderId="26" xfId="0" applyFont="1" applyBorder="1"/>
    <xf numFmtId="8" fontId="45" fillId="0" borderId="0" xfId="1" applyNumberFormat="1" applyFont="1"/>
    <xf numFmtId="8" fontId="45" fillId="0" borderId="41" xfId="1" applyNumberFormat="1" applyFont="1" applyBorder="1"/>
    <xf numFmtId="8" fontId="47" fillId="0" borderId="0" xfId="0" applyNumberFormat="1" applyFont="1"/>
    <xf numFmtId="8" fontId="45" fillId="0" borderId="26" xfId="1" applyNumberFormat="1" applyFont="1" applyBorder="1"/>
    <xf numFmtId="8" fontId="46" fillId="0" borderId="0" xfId="0" applyNumberFormat="1" applyFont="1"/>
    <xf numFmtId="8" fontId="30" fillId="0" borderId="21" xfId="4" applyNumberFormat="1" applyFont="1" applyBorder="1"/>
    <xf numFmtId="0" fontId="28" fillId="8" borderId="43" xfId="3" applyFont="1" applyFill="1" applyBorder="1" applyAlignment="1">
      <alignment horizontal="right"/>
    </xf>
    <xf numFmtId="8" fontId="30" fillId="0" borderId="16" xfId="4" applyNumberFormat="1" applyFont="1" applyBorder="1"/>
    <xf numFmtId="0" fontId="27" fillId="0" borderId="1" xfId="3" applyFont="1" applyBorder="1" applyAlignment="1">
      <alignment horizontal="center"/>
    </xf>
    <xf numFmtId="0" fontId="27" fillId="6" borderId="45" xfId="3" applyFont="1" applyFill="1" applyBorder="1" applyAlignment="1">
      <alignment horizontal="center"/>
    </xf>
    <xf numFmtId="164" fontId="30" fillId="0" borderId="19" xfId="3" applyNumberFormat="1" applyFont="1" applyBorder="1"/>
    <xf numFmtId="8" fontId="30" fillId="0" borderId="21" xfId="3" applyNumberFormat="1" applyFont="1" applyBorder="1"/>
    <xf numFmtId="8" fontId="30" fillId="0" borderId="25" xfId="3" applyNumberFormat="1" applyFont="1" applyBorder="1"/>
    <xf numFmtId="8" fontId="30" fillId="0" borderId="16" xfId="3" applyNumberFormat="1" applyFont="1" applyBorder="1"/>
    <xf numFmtId="8" fontId="30" fillId="0" borderId="17" xfId="3" applyNumberFormat="1" applyFont="1" applyBorder="1"/>
    <xf numFmtId="0" fontId="29" fillId="0" borderId="0" xfId="3" applyFont="1" applyAlignment="1">
      <alignment horizontal="center"/>
    </xf>
    <xf numFmtId="0" fontId="35" fillId="0" borderId="44" xfId="0" applyFont="1" applyBorder="1" applyAlignment="1">
      <alignment horizontal="left" vertical="center" wrapText="1"/>
    </xf>
    <xf numFmtId="0" fontId="30" fillId="0" borderId="45" xfId="3" applyFont="1" applyBorder="1" applyAlignment="1">
      <alignment horizontal="center" vertical="center"/>
    </xf>
    <xf numFmtId="14" fontId="14" fillId="0" borderId="38" xfId="0" applyNumberFormat="1" applyFont="1" applyBorder="1" applyAlignment="1">
      <alignment horizontal="center" vertical="center"/>
    </xf>
    <xf numFmtId="14" fontId="14" fillId="3" borderId="0" xfId="0" applyNumberFormat="1" applyFont="1" applyFill="1" applyAlignment="1">
      <alignment horizontal="center" vertical="center"/>
    </xf>
    <xf numFmtId="0" fontId="16" fillId="0" borderId="7" xfId="0" applyFont="1" applyBorder="1" applyAlignment="1">
      <alignment horizontal="left" vertical="center" wrapText="1"/>
    </xf>
    <xf numFmtId="0" fontId="34" fillId="0" borderId="7" xfId="0" applyFont="1" applyBorder="1" applyAlignment="1">
      <alignment horizontal="left" vertical="center" wrapText="1"/>
    </xf>
    <xf numFmtId="0" fontId="37" fillId="0" borderId="7" xfId="0" applyFont="1" applyBorder="1" applyAlignment="1">
      <alignment horizontal="left"/>
    </xf>
    <xf numFmtId="0" fontId="29" fillId="14" borderId="3" xfId="3" applyFont="1" applyFill="1" applyBorder="1" applyAlignment="1">
      <alignment horizontal="center"/>
    </xf>
    <xf numFmtId="8" fontId="30" fillId="0" borderId="27" xfId="4" applyNumberFormat="1" applyFont="1" applyBorder="1"/>
    <xf numFmtId="8" fontId="30" fillId="0" borderId="29" xfId="4" applyNumberFormat="1" applyFont="1" applyBorder="1"/>
    <xf numFmtId="8" fontId="30" fillId="4" borderId="23" xfId="3" applyNumberFormat="1" applyFont="1" applyFill="1" applyBorder="1"/>
    <xf numFmtId="8" fontId="30" fillId="15" borderId="23" xfId="3" applyNumberFormat="1" applyFont="1" applyFill="1" applyBorder="1"/>
    <xf numFmtId="164" fontId="30" fillId="16" borderId="3" xfId="3" applyNumberFormat="1" applyFont="1" applyFill="1" applyBorder="1"/>
    <xf numFmtId="164" fontId="22" fillId="0" borderId="3" xfId="3" applyNumberFormat="1" applyFont="1" applyBorder="1"/>
    <xf numFmtId="164" fontId="15" fillId="0" borderId="0" xfId="3" applyNumberFormat="1"/>
    <xf numFmtId="0" fontId="9" fillId="5" borderId="1" xfId="0" applyFont="1" applyFill="1" applyBorder="1" applyAlignment="1">
      <alignment horizontal="center" vertical="center" wrapText="1"/>
    </xf>
    <xf numFmtId="8" fontId="9" fillId="5" borderId="2" xfId="0" applyNumberFormat="1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 wrapText="1"/>
    </xf>
    <xf numFmtId="8" fontId="23" fillId="5" borderId="2" xfId="0" applyNumberFormat="1" applyFont="1" applyFill="1" applyBorder="1" applyAlignment="1">
      <alignment horizontal="center" vertical="center"/>
    </xf>
    <xf numFmtId="0" fontId="11" fillId="0" borderId="7" xfId="0" applyFont="1" applyBorder="1" applyAlignment="1">
      <alignment horizontal="left" vertical="center" wrapText="1"/>
    </xf>
    <xf numFmtId="0" fontId="49" fillId="0" borderId="7" xfId="0" applyFont="1" applyBorder="1" applyAlignment="1">
      <alignment horizontal="left" vertical="center" wrapText="1"/>
    </xf>
    <xf numFmtId="0" fontId="34" fillId="0" borderId="7" xfId="0" applyFont="1" applyBorder="1"/>
    <xf numFmtId="0" fontId="11" fillId="0" borderId="7" xfId="0" applyFont="1" applyBorder="1"/>
    <xf numFmtId="0" fontId="50" fillId="0" borderId="7" xfId="0" applyFont="1" applyBorder="1" applyAlignment="1">
      <alignment horizontal="left" vertical="center" wrapText="1"/>
    </xf>
    <xf numFmtId="0" fontId="11" fillId="0" borderId="8" xfId="0" applyFont="1" applyBorder="1"/>
    <xf numFmtId="10" fontId="15" fillId="0" borderId="0" xfId="2" applyNumberFormat="1" applyFont="1" applyAlignment="1">
      <alignment horizontal="center"/>
    </xf>
    <xf numFmtId="10" fontId="15" fillId="0" borderId="0" xfId="3" applyNumberFormat="1"/>
    <xf numFmtId="0" fontId="34" fillId="0" borderId="0" xfId="0" applyFont="1"/>
    <xf numFmtId="0" fontId="33" fillId="0" borderId="23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33" fillId="13" borderId="46" xfId="0" applyFont="1" applyFill="1" applyBorder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52" fillId="5" borderId="1" xfId="0" applyFont="1" applyFill="1" applyBorder="1" applyAlignment="1">
      <alignment horizontal="center" vertical="center" wrapText="1"/>
    </xf>
    <xf numFmtId="0" fontId="52" fillId="5" borderId="3" xfId="0" applyFont="1" applyFill="1" applyBorder="1" applyAlignment="1">
      <alignment horizontal="center" vertical="center" wrapText="1"/>
    </xf>
    <xf numFmtId="0" fontId="53" fillId="5" borderId="3" xfId="0" applyFont="1" applyFill="1" applyBorder="1" applyAlignment="1">
      <alignment horizontal="center" vertical="center" wrapText="1"/>
    </xf>
    <xf numFmtId="0" fontId="52" fillId="5" borderId="4" xfId="0" applyFont="1" applyFill="1" applyBorder="1" applyAlignment="1">
      <alignment horizontal="center" vertical="center" wrapText="1"/>
    </xf>
    <xf numFmtId="8" fontId="0" fillId="0" borderId="0" xfId="1" applyNumberFormat="1" applyFont="1"/>
    <xf numFmtId="0" fontId="0" fillId="0" borderId="41" xfId="0" applyBorder="1"/>
    <xf numFmtId="8" fontId="0" fillId="0" borderId="41" xfId="1" applyNumberFormat="1" applyFont="1" applyBorder="1"/>
    <xf numFmtId="8" fontId="0" fillId="0" borderId="0" xfId="0" applyNumberFormat="1"/>
    <xf numFmtId="0" fontId="0" fillId="0" borderId="26" xfId="0" applyBorder="1"/>
    <xf numFmtId="8" fontId="0" fillId="0" borderId="26" xfId="1" applyNumberFormat="1" applyFont="1" applyBorder="1"/>
    <xf numFmtId="0" fontId="36" fillId="9" borderId="41" xfId="0" applyFont="1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 wrapText="1"/>
    </xf>
    <xf numFmtId="0" fontId="34" fillId="0" borderId="48" xfId="0" applyFont="1" applyBorder="1" applyAlignment="1">
      <alignment horizontal="center" vertical="center"/>
    </xf>
    <xf numFmtId="0" fontId="34" fillId="0" borderId="49" xfId="0" applyFont="1" applyBorder="1" applyAlignment="1">
      <alignment horizontal="center" vertical="center"/>
    </xf>
    <xf numFmtId="165" fontId="34" fillId="0" borderId="49" xfId="0" applyNumberFormat="1" applyFont="1" applyBorder="1" applyAlignment="1">
      <alignment horizontal="center" vertical="center"/>
    </xf>
    <xf numFmtId="0" fontId="34" fillId="3" borderId="49" xfId="0" applyFont="1" applyFill="1" applyBorder="1" applyAlignment="1">
      <alignment horizontal="center" vertical="center"/>
    </xf>
    <xf numFmtId="0" fontId="36" fillId="0" borderId="50" xfId="0" applyFont="1" applyBorder="1" applyAlignment="1">
      <alignment horizontal="center" vertical="center"/>
    </xf>
    <xf numFmtId="0" fontId="36" fillId="0" borderId="51" xfId="0" applyFont="1" applyBorder="1" applyAlignment="1">
      <alignment horizontal="center" vertical="center"/>
    </xf>
    <xf numFmtId="0" fontId="36" fillId="9" borderId="51" xfId="0" applyFont="1" applyFill="1" applyBorder="1" applyAlignment="1">
      <alignment horizontal="center" vertical="center"/>
    </xf>
    <xf numFmtId="164" fontId="9" fillId="0" borderId="52" xfId="0" applyNumberFormat="1" applyFont="1" applyBorder="1" applyAlignment="1">
      <alignment horizontal="center" vertical="center"/>
    </xf>
    <xf numFmtId="164" fontId="9" fillId="0" borderId="53" xfId="0" applyNumberFormat="1" applyFont="1" applyBorder="1" applyAlignment="1">
      <alignment horizontal="center" vertical="center"/>
    </xf>
    <xf numFmtId="164" fontId="9" fillId="3" borderId="53" xfId="0" applyNumberFormat="1" applyFont="1" applyFill="1" applyBorder="1" applyAlignment="1">
      <alignment horizontal="center" vertical="center"/>
    </xf>
    <xf numFmtId="165" fontId="9" fillId="0" borderId="53" xfId="0" applyNumberFormat="1" applyFont="1" applyBorder="1" applyAlignment="1">
      <alignment horizontal="center" vertical="center"/>
    </xf>
    <xf numFmtId="14" fontId="5" fillId="0" borderId="0" xfId="0" applyNumberFormat="1" applyFont="1"/>
    <xf numFmtId="0" fontId="54" fillId="9" borderId="7" xfId="0" applyFont="1" applyFill="1" applyBorder="1" applyAlignment="1">
      <alignment horizontal="left" vertical="center" wrapText="1"/>
    </xf>
    <xf numFmtId="0" fontId="54" fillId="0" borderId="7" xfId="0" applyFont="1" applyBorder="1" applyAlignment="1">
      <alignment horizontal="left" vertical="center" wrapText="1"/>
    </xf>
    <xf numFmtId="0" fontId="56" fillId="0" borderId="7" xfId="0" applyFont="1" applyBorder="1"/>
    <xf numFmtId="0" fontId="54" fillId="0" borderId="7" xfId="0" applyFont="1" applyBorder="1"/>
    <xf numFmtId="0" fontId="56" fillId="0" borderId="7" xfId="0" applyFont="1" applyBorder="1" applyAlignment="1">
      <alignment horizontal="left" vertical="center" wrapText="1"/>
    </xf>
    <xf numFmtId="0" fontId="57" fillId="0" borderId="7" xfId="0" applyFont="1" applyBorder="1" applyAlignment="1">
      <alignment horizontal="left" vertical="center" wrapText="1"/>
    </xf>
    <xf numFmtId="0" fontId="39" fillId="0" borderId="33" xfId="0" applyFont="1" applyBorder="1" applyAlignment="1">
      <alignment horizontal="left" vertical="center" wrapText="1"/>
    </xf>
    <xf numFmtId="0" fontId="9" fillId="0" borderId="36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9" fillId="0" borderId="36" xfId="0" applyFont="1" applyBorder="1" applyAlignment="1">
      <alignment vertical="center" wrapText="1"/>
    </xf>
    <xf numFmtId="0" fontId="9" fillId="0" borderId="10" xfId="0" applyFont="1" applyBorder="1" applyAlignment="1">
      <alignment vertical="center" wrapText="1"/>
    </xf>
    <xf numFmtId="14" fontId="14" fillId="0" borderId="31" xfId="0" applyNumberFormat="1" applyFont="1" applyBorder="1" applyAlignment="1">
      <alignment horizontal="center" vertical="center"/>
    </xf>
    <xf numFmtId="14" fontId="14" fillId="0" borderId="41" xfId="0" applyNumberFormat="1" applyFont="1" applyBorder="1" applyAlignment="1">
      <alignment horizontal="center" vertical="center"/>
    </xf>
    <xf numFmtId="0" fontId="34" fillId="0" borderId="34" xfId="0" applyFont="1" applyBorder="1" applyAlignment="1">
      <alignment horizontal="center" vertical="center" wrapText="1"/>
    </xf>
    <xf numFmtId="0" fontId="9" fillId="0" borderId="54" xfId="0" applyFont="1" applyBorder="1" applyAlignment="1">
      <alignment horizontal="center" vertical="center" wrapText="1"/>
    </xf>
    <xf numFmtId="0" fontId="14" fillId="0" borderId="55" xfId="0" applyFont="1" applyBorder="1" applyAlignment="1">
      <alignment horizontal="center" vertical="center"/>
    </xf>
    <xf numFmtId="14" fontId="14" fillId="0" borderId="56" xfId="0" applyNumberFormat="1" applyFont="1" applyBorder="1" applyAlignment="1">
      <alignment horizontal="center" vertical="center"/>
    </xf>
    <xf numFmtId="0" fontId="17" fillId="0" borderId="33" xfId="0" applyFont="1" applyBorder="1" applyAlignment="1">
      <alignment horizontal="left" vertical="center" wrapText="1"/>
    </xf>
    <xf numFmtId="0" fontId="39" fillId="0" borderId="8" xfId="0" applyFont="1" applyBorder="1" applyAlignment="1">
      <alignment wrapText="1"/>
    </xf>
    <xf numFmtId="0" fontId="11" fillId="0" borderId="35" xfId="0" applyFont="1" applyBorder="1" applyAlignment="1">
      <alignment horizontal="left" vertical="center" wrapText="1"/>
    </xf>
    <xf numFmtId="0" fontId="33" fillId="13" borderId="46" xfId="0" applyFont="1" applyFill="1" applyBorder="1" applyAlignment="1">
      <alignment vertical="center"/>
    </xf>
    <xf numFmtId="0" fontId="33" fillId="0" borderId="23" xfId="0" applyFont="1" applyBorder="1" applyAlignment="1">
      <alignment vertical="center"/>
    </xf>
    <xf numFmtId="0" fontId="16" fillId="0" borderId="31" xfId="0" applyFont="1" applyBorder="1" applyAlignment="1">
      <alignment horizontal="left" vertical="center" wrapText="1"/>
    </xf>
    <xf numFmtId="164" fontId="9" fillId="0" borderId="8" xfId="0" applyNumberFormat="1" applyFont="1" applyBorder="1" applyAlignment="1">
      <alignment horizontal="center" vertical="center"/>
    </xf>
    <xf numFmtId="0" fontId="50" fillId="12" borderId="57" xfId="0" applyFont="1" applyFill="1" applyBorder="1" applyAlignment="1">
      <alignment horizontal="left" vertical="center" wrapText="1"/>
    </xf>
    <xf numFmtId="0" fontId="14" fillId="0" borderId="14" xfId="0" applyFont="1" applyBorder="1" applyAlignment="1">
      <alignment horizontal="center" vertical="center" wrapText="1"/>
    </xf>
    <xf numFmtId="0" fontId="54" fillId="0" borderId="0" xfId="0" applyFont="1" applyAlignment="1">
      <alignment horizontal="left" vertical="center" wrapText="1"/>
    </xf>
    <xf numFmtId="0" fontId="14" fillId="0" borderId="55" xfId="0" applyFont="1" applyBorder="1" applyAlignment="1">
      <alignment horizontal="center" vertical="center" wrapText="1"/>
    </xf>
    <xf numFmtId="0" fontId="14" fillId="0" borderId="56" xfId="0" applyFont="1" applyBorder="1" applyAlignment="1">
      <alignment horizontal="center" vertical="center" wrapText="1"/>
    </xf>
    <xf numFmtId="0" fontId="14" fillId="0" borderId="56" xfId="0" applyFont="1" applyBorder="1" applyAlignment="1">
      <alignment horizontal="center" vertical="center"/>
    </xf>
    <xf numFmtId="0" fontId="58" fillId="0" borderId="7" xfId="0" applyFont="1" applyBorder="1" applyAlignment="1">
      <alignment horizontal="left" vertical="center" wrapText="1"/>
    </xf>
    <xf numFmtId="0" fontId="36" fillId="17" borderId="41" xfId="0" applyFont="1" applyFill="1" applyBorder="1" applyAlignment="1">
      <alignment horizontal="center" vertical="center"/>
    </xf>
    <xf numFmtId="0" fontId="55" fillId="0" borderId="7" xfId="0" applyFont="1" applyBorder="1" applyAlignment="1">
      <alignment vertical="center"/>
    </xf>
    <xf numFmtId="0" fontId="39" fillId="0" borderId="31" xfId="0" applyFont="1" applyBorder="1" applyAlignment="1">
      <alignment wrapText="1"/>
    </xf>
    <xf numFmtId="0" fontId="9" fillId="0" borderId="31" xfId="0" applyFont="1" applyBorder="1" applyAlignment="1">
      <alignment horizontal="center" vertical="center" wrapText="1"/>
    </xf>
    <xf numFmtId="0" fontId="36" fillId="0" borderId="3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9" fillId="0" borderId="31" xfId="0" applyFont="1" applyBorder="1" applyAlignment="1">
      <alignment vertical="center" wrapText="1"/>
    </xf>
    <xf numFmtId="164" fontId="9" fillId="0" borderId="31" xfId="0" applyNumberFormat="1" applyFont="1" applyBorder="1" applyAlignment="1">
      <alignment horizontal="center" vertical="center"/>
    </xf>
    <xf numFmtId="164" fontId="23" fillId="0" borderId="31" xfId="0" applyNumberFormat="1" applyFont="1" applyBorder="1" applyAlignment="1">
      <alignment horizontal="center" vertical="center"/>
    </xf>
    <xf numFmtId="9" fontId="9" fillId="0" borderId="31" xfId="2" applyFont="1" applyBorder="1" applyAlignment="1">
      <alignment horizontal="center" vertical="center"/>
    </xf>
    <xf numFmtId="0" fontId="58" fillId="0" borderId="31" xfId="0" applyFont="1" applyBorder="1" applyAlignment="1">
      <alignment horizontal="left" vertical="center" wrapText="1"/>
    </xf>
    <xf numFmtId="14" fontId="14" fillId="0" borderId="57" xfId="0" applyNumberFormat="1" applyFont="1" applyBorder="1" applyAlignment="1">
      <alignment horizontal="center" vertical="center"/>
    </xf>
    <xf numFmtId="0" fontId="28" fillId="0" borderId="9" xfId="0" applyFont="1" applyBorder="1" applyAlignment="1">
      <alignment horizontal="center" vertical="center"/>
    </xf>
    <xf numFmtId="164" fontId="9" fillId="0" borderId="58" xfId="0" applyNumberFormat="1" applyFont="1" applyBorder="1" applyAlignment="1">
      <alignment horizontal="center" vertical="center"/>
    </xf>
    <xf numFmtId="9" fontId="9" fillId="0" borderId="58" xfId="2" applyFont="1" applyBorder="1" applyAlignment="1">
      <alignment horizontal="center" vertical="center"/>
    </xf>
    <xf numFmtId="0" fontId="11" fillId="0" borderId="10" xfId="0" applyFont="1" applyBorder="1" applyAlignment="1">
      <alignment horizontal="left" vertical="center" wrapText="1"/>
    </xf>
    <xf numFmtId="0" fontId="21" fillId="0" borderId="0" xfId="0" applyFont="1" applyAlignment="1">
      <alignment horizontal="left" vertical="center" wrapText="1"/>
    </xf>
    <xf numFmtId="164" fontId="9" fillId="0" borderId="59" xfId="0" applyNumberFormat="1" applyFont="1" applyBorder="1" applyAlignment="1">
      <alignment horizontal="center" vertical="center"/>
    </xf>
    <xf numFmtId="164" fontId="23" fillId="0" borderId="58" xfId="0" applyNumberFormat="1" applyFont="1" applyBorder="1" applyAlignment="1">
      <alignment horizontal="center" vertical="center"/>
    </xf>
    <xf numFmtId="0" fontId="59" fillId="0" borderId="0" xfId="0" applyFont="1" applyAlignment="1">
      <alignment horizontal="left" vertical="center" wrapText="1"/>
    </xf>
    <xf numFmtId="0" fontId="60" fillId="0" borderId="38" xfId="0" applyFont="1" applyBorder="1" applyAlignment="1">
      <alignment horizontal="left" vertical="center" wrapText="1"/>
    </xf>
    <xf numFmtId="0" fontId="59" fillId="0" borderId="38" xfId="0" applyFont="1" applyBorder="1" applyAlignment="1">
      <alignment horizontal="left" vertical="center" wrapText="1"/>
    </xf>
    <xf numFmtId="0" fontId="60" fillId="0" borderId="44" xfId="0" applyFont="1" applyBorder="1" applyAlignment="1">
      <alignment horizontal="left" vertical="center" wrapText="1"/>
    </xf>
    <xf numFmtId="0" fontId="59" fillId="0" borderId="31" xfId="0" applyFont="1" applyBorder="1" applyAlignment="1">
      <alignment horizontal="left" vertical="center" wrapText="1"/>
    </xf>
    <xf numFmtId="0" fontId="59" fillId="0" borderId="7" xfId="0" applyFont="1" applyBorder="1" applyAlignment="1">
      <alignment horizontal="left" vertical="center" wrapText="1"/>
    </xf>
    <xf numFmtId="164" fontId="9" fillId="0" borderId="60" xfId="0" applyNumberFormat="1" applyFont="1" applyBorder="1" applyAlignment="1">
      <alignment horizontal="center" vertical="center"/>
    </xf>
    <xf numFmtId="0" fontId="59" fillId="0" borderId="8" xfId="0" applyFont="1" applyBorder="1" applyAlignment="1">
      <alignment horizontal="left" vertical="center"/>
    </xf>
    <xf numFmtId="165" fontId="62" fillId="0" borderId="0" xfId="0" applyNumberFormat="1" applyFont="1"/>
    <xf numFmtId="0" fontId="60" fillId="0" borderId="31" xfId="0" applyFont="1" applyBorder="1" applyAlignment="1">
      <alignment horizontal="left" vertical="center" wrapText="1"/>
    </xf>
    <xf numFmtId="164" fontId="9" fillId="0" borderId="34" xfId="0" applyNumberFormat="1" applyFont="1" applyBorder="1" applyAlignment="1">
      <alignment horizontal="center" vertical="center"/>
    </xf>
    <xf numFmtId="0" fontId="60" fillId="0" borderId="41" xfId="0" applyFont="1" applyBorder="1" applyAlignment="1">
      <alignment horizontal="left" vertical="center" wrapText="1"/>
    </xf>
    <xf numFmtId="0" fontId="36" fillId="9" borderId="50" xfId="0" applyFont="1" applyFill="1" applyBorder="1" applyAlignment="1">
      <alignment horizontal="center" vertical="center"/>
    </xf>
    <xf numFmtId="0" fontId="36" fillId="4" borderId="50" xfId="0" applyFont="1" applyFill="1" applyBorder="1" applyAlignment="1">
      <alignment horizontal="center" vertical="center"/>
    </xf>
    <xf numFmtId="0" fontId="36" fillId="17" borderId="50" xfId="0" applyFont="1" applyFill="1" applyBorder="1" applyAlignment="1">
      <alignment horizontal="center" vertical="center"/>
    </xf>
    <xf numFmtId="0" fontId="41" fillId="0" borderId="0" xfId="0" applyFont="1" applyAlignment="1">
      <alignment horizontal="left"/>
    </xf>
    <xf numFmtId="0" fontId="64" fillId="0" borderId="0" xfId="0" applyFont="1"/>
    <xf numFmtId="0" fontId="65" fillId="0" borderId="0" xfId="0" applyFont="1" applyAlignment="1">
      <alignment horizontal="left"/>
    </xf>
    <xf numFmtId="0" fontId="67" fillId="0" borderId="0" xfId="0" applyFont="1"/>
    <xf numFmtId="0" fontId="68" fillId="0" borderId="0" xfId="0" applyFont="1"/>
    <xf numFmtId="0" fontId="65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69" fillId="0" borderId="0" xfId="0" applyFont="1"/>
    <xf numFmtId="0" fontId="70" fillId="0" borderId="0" xfId="0" applyFont="1"/>
    <xf numFmtId="0" fontId="7" fillId="0" borderId="0" xfId="0" applyFont="1" applyAlignment="1">
      <alignment horizontal="left"/>
    </xf>
    <xf numFmtId="0" fontId="71" fillId="0" borderId="0" xfId="0" applyFont="1"/>
    <xf numFmtId="0" fontId="7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33" fillId="0" borderId="0" xfId="0" applyFont="1"/>
    <xf numFmtId="0" fontId="66" fillId="0" borderId="0" xfId="0" applyFont="1" applyAlignment="1">
      <alignment horizontal="left"/>
    </xf>
    <xf numFmtId="14" fontId="65" fillId="0" borderId="0" xfId="0" applyNumberFormat="1" applyFont="1" applyAlignment="1">
      <alignment horizontal="center"/>
    </xf>
    <xf numFmtId="0" fontId="9" fillId="5" borderId="0" xfId="0" applyFont="1" applyFill="1" applyAlignment="1">
      <alignment horizontal="center" vertical="center" wrapText="1"/>
    </xf>
    <xf numFmtId="0" fontId="33" fillId="0" borderId="0" xfId="0" applyFont="1" applyAlignment="1">
      <alignment vertical="center"/>
    </xf>
    <xf numFmtId="0" fontId="10" fillId="0" borderId="11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5" borderId="11" xfId="0" applyFont="1" applyFill="1" applyBorder="1" applyAlignment="1">
      <alignment horizontal="center" vertical="center" wrapText="1"/>
    </xf>
    <xf numFmtId="0" fontId="23" fillId="5" borderId="11" xfId="0" applyFont="1" applyFill="1" applyBorder="1" applyAlignment="1">
      <alignment horizontal="center" vertical="center" wrapText="1"/>
    </xf>
    <xf numFmtId="0" fontId="54" fillId="0" borderId="10" xfId="0" applyFont="1" applyBorder="1" applyAlignment="1">
      <alignment horizontal="left" vertical="center" wrapText="1"/>
    </xf>
    <xf numFmtId="44" fontId="9" fillId="0" borderId="31" xfId="0" applyNumberFormat="1" applyFont="1" applyBorder="1" applyAlignment="1">
      <alignment horizontal="center" vertical="center" wrapText="1"/>
    </xf>
    <xf numFmtId="44" fontId="23" fillId="0" borderId="31" xfId="0" applyNumberFormat="1" applyFont="1" applyBorder="1" applyAlignment="1">
      <alignment horizontal="center" vertical="center" wrapText="1"/>
    </xf>
    <xf numFmtId="0" fontId="75" fillId="0" borderId="0" xfId="0" applyFont="1"/>
    <xf numFmtId="8" fontId="75" fillId="0" borderId="0" xfId="1" applyNumberFormat="1" applyFont="1"/>
    <xf numFmtId="8" fontId="75" fillId="0" borderId="41" xfId="1" applyNumberFormat="1" applyFont="1" applyBorder="1"/>
    <xf numFmtId="8" fontId="75" fillId="0" borderId="0" xfId="0" applyNumberFormat="1" applyFont="1"/>
    <xf numFmtId="0" fontId="75" fillId="0" borderId="0" xfId="0" applyFont="1" applyAlignment="1">
      <alignment horizontal="right"/>
    </xf>
    <xf numFmtId="8" fontId="75" fillId="0" borderId="26" xfId="1" applyNumberFormat="1" applyFont="1" applyBorder="1"/>
    <xf numFmtId="0" fontId="52" fillId="0" borderId="0" xfId="0" applyFont="1" applyAlignment="1">
      <alignment horizontal="center" vertical="center"/>
    </xf>
    <xf numFmtId="44" fontId="75" fillId="0" borderId="0" xfId="1" applyFont="1"/>
    <xf numFmtId="0" fontId="14" fillId="4" borderId="3" xfId="0" applyFont="1" applyFill="1" applyBorder="1" applyAlignment="1">
      <alignment horizontal="center" vertical="center" wrapText="1"/>
    </xf>
    <xf numFmtId="0" fontId="76" fillId="0" borderId="50" xfId="0" applyFont="1" applyBorder="1" applyAlignment="1">
      <alignment horizontal="center" vertical="center"/>
    </xf>
    <xf numFmtId="0" fontId="56" fillId="0" borderId="37" xfId="0" applyFont="1" applyBorder="1" applyAlignment="1">
      <alignment horizontal="center" vertical="center"/>
    </xf>
    <xf numFmtId="0" fontId="76" fillId="0" borderId="51" xfId="0" applyFont="1" applyBorder="1" applyAlignment="1">
      <alignment horizontal="center" vertical="center"/>
    </xf>
    <xf numFmtId="0" fontId="56" fillId="0" borderId="13" xfId="0" applyFont="1" applyBorder="1" applyAlignment="1">
      <alignment horizontal="center" vertical="center"/>
    </xf>
    <xf numFmtId="0" fontId="76" fillId="12" borderId="51" xfId="0" applyFont="1" applyFill="1" applyBorder="1" applyAlignment="1">
      <alignment horizontal="center" vertical="center"/>
    </xf>
    <xf numFmtId="0" fontId="30" fillId="0" borderId="0" xfId="0" applyFont="1"/>
    <xf numFmtId="164" fontId="61" fillId="0" borderId="31" xfId="0" applyNumberFormat="1" applyFont="1" applyBorder="1"/>
    <xf numFmtId="0" fontId="16" fillId="5" borderId="3" xfId="0" applyFont="1" applyFill="1" applyBorder="1" applyAlignment="1">
      <alignment horizontal="center" vertical="center" wrapText="1"/>
    </xf>
    <xf numFmtId="0" fontId="77" fillId="5" borderId="3" xfId="0" applyFont="1" applyFill="1" applyBorder="1" applyAlignment="1">
      <alignment horizontal="center" vertical="center" wrapText="1"/>
    </xf>
    <xf numFmtId="0" fontId="10" fillId="0" borderId="31" xfId="0" applyFont="1" applyBorder="1" applyAlignment="1">
      <alignment horizontal="left" vertical="center" wrapText="1"/>
    </xf>
    <xf numFmtId="0" fontId="33" fillId="16" borderId="61" xfId="0" applyFont="1" applyFill="1" applyBorder="1" applyAlignment="1">
      <alignment horizontal="center" vertical="center"/>
    </xf>
    <xf numFmtId="0" fontId="33" fillId="19" borderId="61" xfId="0" applyFont="1" applyFill="1" applyBorder="1" applyAlignment="1">
      <alignment horizontal="center" vertical="center"/>
    </xf>
    <xf numFmtId="0" fontId="65" fillId="0" borderId="0" xfId="0" applyFont="1" applyAlignment="1">
      <alignment horizontal="right" vertical="center"/>
    </xf>
    <xf numFmtId="0" fontId="66" fillId="0" borderId="0" xfId="0" applyFont="1" applyAlignment="1">
      <alignment horizontal="right" vertical="center"/>
    </xf>
    <xf numFmtId="0" fontId="60" fillId="0" borderId="35" xfId="0" applyFont="1" applyBorder="1" applyAlignment="1">
      <alignment horizontal="left" vertical="top" wrapText="1"/>
    </xf>
    <xf numFmtId="0" fontId="78" fillId="0" borderId="31" xfId="0" applyFont="1" applyBorder="1" applyAlignment="1">
      <alignment wrapText="1"/>
    </xf>
    <xf numFmtId="0" fontId="39" fillId="0" borderId="55" xfId="0" applyFont="1" applyBorder="1" applyAlignment="1">
      <alignment wrapText="1"/>
    </xf>
    <xf numFmtId="0" fontId="9" fillId="0" borderId="55" xfId="0" applyFont="1" applyBorder="1" applyAlignment="1">
      <alignment horizontal="center" vertical="center" wrapText="1"/>
    </xf>
    <xf numFmtId="0" fontId="36" fillId="0" borderId="55" xfId="0" applyFont="1" applyBorder="1" applyAlignment="1">
      <alignment horizontal="center" vertical="center"/>
    </xf>
    <xf numFmtId="0" fontId="10" fillId="0" borderId="55" xfId="0" applyFont="1" applyBorder="1" applyAlignment="1">
      <alignment horizontal="center" vertical="center"/>
    </xf>
    <xf numFmtId="0" fontId="9" fillId="0" borderId="55" xfId="0" applyFont="1" applyBorder="1" applyAlignment="1">
      <alignment vertical="center" wrapText="1"/>
    </xf>
    <xf numFmtId="164" fontId="9" fillId="0" borderId="55" xfId="0" applyNumberFormat="1" applyFont="1" applyBorder="1" applyAlignment="1">
      <alignment horizontal="center" vertical="center"/>
    </xf>
    <xf numFmtId="164" fontId="23" fillId="0" borderId="55" xfId="0" applyNumberFormat="1" applyFont="1" applyBorder="1" applyAlignment="1">
      <alignment horizontal="center" vertical="center"/>
    </xf>
    <xf numFmtId="9" fontId="9" fillId="0" borderId="55" xfId="2" applyFont="1" applyBorder="1" applyAlignment="1">
      <alignment horizontal="center" vertical="center"/>
    </xf>
    <xf numFmtId="0" fontId="58" fillId="0" borderId="55" xfId="0" applyFont="1" applyBorder="1" applyAlignment="1">
      <alignment horizontal="left" vertical="center" wrapText="1"/>
    </xf>
    <xf numFmtId="0" fontId="33" fillId="20" borderId="31" xfId="0" applyFont="1" applyFill="1" applyBorder="1" applyAlignment="1">
      <alignment vertical="center"/>
    </xf>
    <xf numFmtId="164" fontId="74" fillId="0" borderId="31" xfId="0" applyNumberFormat="1" applyFont="1" applyBorder="1"/>
    <xf numFmtId="165" fontId="79" fillId="0" borderId="31" xfId="0" applyNumberFormat="1" applyFont="1" applyBorder="1"/>
    <xf numFmtId="165" fontId="80" fillId="0" borderId="31" xfId="0" applyNumberFormat="1" applyFont="1" applyBorder="1"/>
    <xf numFmtId="0" fontId="79" fillId="0" borderId="31" xfId="0" applyFont="1" applyBorder="1"/>
    <xf numFmtId="164" fontId="23" fillId="0" borderId="0" xfId="0" applyNumberFormat="1" applyFont="1" applyAlignment="1">
      <alignment horizontal="center" vertical="center"/>
    </xf>
    <xf numFmtId="0" fontId="34" fillId="0" borderId="31" xfId="0" applyFont="1" applyBorder="1" applyAlignment="1">
      <alignment horizontal="center" vertical="center"/>
    </xf>
    <xf numFmtId="0" fontId="34" fillId="0" borderId="62" xfId="0" applyFont="1" applyBorder="1" applyAlignment="1">
      <alignment horizontal="center" vertical="center"/>
    </xf>
    <xf numFmtId="164" fontId="9" fillId="0" borderId="54" xfId="0" applyNumberFormat="1" applyFont="1" applyBorder="1" applyAlignment="1">
      <alignment horizontal="center" vertical="center"/>
    </xf>
    <xf numFmtId="0" fontId="28" fillId="0" borderId="31" xfId="0" applyFont="1" applyBorder="1"/>
    <xf numFmtId="0" fontId="61" fillId="0" borderId="31" xfId="0" applyFont="1" applyBorder="1"/>
    <xf numFmtId="0" fontId="30" fillId="0" borderId="31" xfId="0" applyFont="1" applyBorder="1"/>
    <xf numFmtId="0" fontId="36" fillId="0" borderId="63" xfId="0" applyFont="1" applyBorder="1" applyAlignment="1">
      <alignment horizontal="center" vertical="center"/>
    </xf>
    <xf numFmtId="0" fontId="10" fillId="0" borderId="40" xfId="0" applyFont="1" applyBorder="1" applyAlignment="1">
      <alignment horizontal="center" vertical="center"/>
    </xf>
    <xf numFmtId="0" fontId="60" fillId="0" borderId="35" xfId="0" applyFont="1" applyBorder="1" applyAlignment="1">
      <alignment horizontal="left" vertical="center" wrapText="1"/>
    </xf>
    <xf numFmtId="164" fontId="81" fillId="0" borderId="10" xfId="0" applyNumberFormat="1" applyFont="1" applyBorder="1" applyAlignment="1">
      <alignment horizontal="center" vertical="center"/>
    </xf>
    <xf numFmtId="0" fontId="61" fillId="0" borderId="35" xfId="0" applyFont="1" applyBorder="1" applyAlignment="1">
      <alignment horizontal="left" vertical="center" wrapText="1"/>
    </xf>
    <xf numFmtId="0" fontId="59" fillId="0" borderId="38" xfId="0" applyFont="1" applyBorder="1"/>
    <xf numFmtId="0" fontId="59" fillId="0" borderId="32" xfId="0" applyFont="1" applyBorder="1"/>
    <xf numFmtId="166" fontId="9" fillId="0" borderId="64" xfId="0" applyNumberFormat="1" applyFont="1" applyBorder="1" applyAlignment="1">
      <alignment vertical="center" wrapText="1"/>
    </xf>
    <xf numFmtId="0" fontId="34" fillId="0" borderId="65" xfId="0" applyFont="1" applyBorder="1" applyAlignment="1">
      <alignment horizontal="center" vertical="center"/>
    </xf>
    <xf numFmtId="0" fontId="34" fillId="0" borderId="36" xfId="0" applyFont="1" applyBorder="1" applyAlignment="1">
      <alignment horizontal="center" vertical="center"/>
    </xf>
    <xf numFmtId="0" fontId="36" fillId="9" borderId="31" xfId="0" applyFont="1" applyFill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36" fillId="9" borderId="0" xfId="0" applyFont="1" applyFill="1" applyAlignment="1">
      <alignment horizontal="center" vertical="center"/>
    </xf>
    <xf numFmtId="0" fontId="15" fillId="0" borderId="0" xfId="3" applyAlignment="1">
      <alignment horizontal="center"/>
    </xf>
    <xf numFmtId="14" fontId="36" fillId="0" borderId="0" xfId="0" applyNumberFormat="1" applyFont="1" applyAlignment="1">
      <alignment horizontal="center" vertical="center"/>
    </xf>
    <xf numFmtId="0" fontId="32" fillId="0" borderId="0" xfId="3" applyFont="1" applyAlignment="1">
      <alignment horizontal="center"/>
    </xf>
    <xf numFmtId="0" fontId="33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66" fillId="0" borderId="0" xfId="0" applyFont="1" applyAlignment="1">
      <alignment horizontal="center" vertical="center"/>
    </xf>
    <xf numFmtId="0" fontId="72" fillId="0" borderId="0" xfId="0" applyFont="1" applyAlignment="1">
      <alignment horizontal="center" vertical="center"/>
    </xf>
    <xf numFmtId="0" fontId="33" fillId="13" borderId="11" xfId="0" applyFont="1" applyFill="1" applyBorder="1" applyAlignment="1">
      <alignment horizontal="center" vertical="center"/>
    </xf>
    <xf numFmtId="0" fontId="33" fillId="13" borderId="46" xfId="0" applyFont="1" applyFill="1" applyBorder="1" applyAlignment="1">
      <alignment horizontal="center" vertical="center"/>
    </xf>
    <xf numFmtId="0" fontId="33" fillId="0" borderId="11" xfId="0" applyFont="1" applyBorder="1" applyAlignment="1">
      <alignment horizontal="center" vertical="center"/>
    </xf>
    <xf numFmtId="0" fontId="33" fillId="0" borderId="46" xfId="0" applyFont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3" fillId="18" borderId="19" xfId="0" applyFont="1" applyFill="1" applyBorder="1" applyAlignment="1">
      <alignment horizontal="center" vertical="center"/>
    </xf>
    <xf numFmtId="0" fontId="3" fillId="18" borderId="12" xfId="0" applyFont="1" applyFill="1" applyBorder="1" applyAlignment="1">
      <alignment horizontal="center" vertical="center"/>
    </xf>
    <xf numFmtId="0" fontId="3" fillId="18" borderId="18" xfId="0" applyFont="1" applyFill="1" applyBorder="1" applyAlignment="1">
      <alignment horizontal="center" vertical="center"/>
    </xf>
    <xf numFmtId="0" fontId="3" fillId="18" borderId="45" xfId="0" applyFont="1" applyFill="1" applyBorder="1" applyAlignment="1">
      <alignment horizontal="center" vertical="center"/>
    </xf>
    <xf numFmtId="0" fontId="3" fillId="18" borderId="26" xfId="0" applyFont="1" applyFill="1" applyBorder="1" applyAlignment="1">
      <alignment horizontal="center" vertical="center"/>
    </xf>
    <xf numFmtId="0" fontId="3" fillId="18" borderId="42" xfId="0" applyFont="1" applyFill="1" applyBorder="1" applyAlignment="1">
      <alignment horizontal="center" vertical="center"/>
    </xf>
    <xf numFmtId="0" fontId="8" fillId="4" borderId="19" xfId="0" applyFont="1" applyFill="1" applyBorder="1" applyAlignment="1">
      <alignment horizontal="center" vertical="center"/>
    </xf>
    <xf numFmtId="0" fontId="8" fillId="4" borderId="18" xfId="0" applyFont="1" applyFill="1" applyBorder="1" applyAlignment="1">
      <alignment horizontal="center" vertical="center"/>
    </xf>
    <xf numFmtId="0" fontId="8" fillId="4" borderId="45" xfId="0" applyFont="1" applyFill="1" applyBorder="1" applyAlignment="1">
      <alignment horizontal="center" vertical="center"/>
    </xf>
    <xf numFmtId="0" fontId="8" fillId="4" borderId="42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5" borderId="47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14" fontId="7" fillId="0" borderId="0" xfId="0" applyNumberFormat="1" applyFont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42" xfId="0" applyFont="1" applyBorder="1" applyAlignment="1">
      <alignment horizontal="center" vertical="center"/>
    </xf>
    <xf numFmtId="0" fontId="8" fillId="5" borderId="19" xfId="0" applyFont="1" applyFill="1" applyBorder="1" applyAlignment="1">
      <alignment horizontal="center" vertical="center"/>
    </xf>
    <xf numFmtId="0" fontId="8" fillId="5" borderId="12" xfId="0" applyFont="1" applyFill="1" applyBorder="1" applyAlignment="1">
      <alignment horizontal="center" vertical="center"/>
    </xf>
    <xf numFmtId="0" fontId="8" fillId="5" borderId="18" xfId="0" applyFont="1" applyFill="1" applyBorder="1" applyAlignment="1">
      <alignment horizontal="center" vertical="center"/>
    </xf>
    <xf numFmtId="0" fontId="41" fillId="0" borderId="0" xfId="0" applyFont="1" applyAlignment="1">
      <alignment horizontal="center" vertical="center"/>
    </xf>
  </cellXfs>
  <cellStyles count="7">
    <cellStyle name="Currency" xfId="1" builtinId="4"/>
    <cellStyle name="Currency 2" xfId="5" xr:uid="{EDF74FE7-5670-4F75-AB29-E1E641A3E440}"/>
    <cellStyle name="Normal" xfId="0" builtinId="0"/>
    <cellStyle name="Normal 2" xfId="3" xr:uid="{A169F3F9-F6A4-471A-8499-04467EC296DF}"/>
    <cellStyle name="Normal 2 2" xfId="6" xr:uid="{8AB46533-4514-4AE7-8797-C0E0FD18B2E6}"/>
    <cellStyle name="Percent" xfId="2" builtinId="5"/>
    <cellStyle name="Percent 2" xfId="4" xr:uid="{B2A076F9-3865-43E0-A725-D339E4EA3AF1}"/>
  </cellStyles>
  <dxfs count="39">
    <dxf>
      <fill>
        <patternFill>
          <bgColor theme="9" tint="0.39994506668294322"/>
        </patternFill>
      </fill>
    </dxf>
    <dxf>
      <fill>
        <patternFill patternType="gray0625"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 patternType="gray0625"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 patternType="gray0625"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 patternType="gray0625"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 patternType="gray0625"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 patternType="gray0625"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 patternType="gray0625"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 patternType="gray0625"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 patternType="gray0625"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 patternType="gray0625">
          <bgColor theme="4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DD7E6B"/>
          <bgColor rgb="FFDD7E6B"/>
        </patternFill>
      </fill>
    </dxf>
    <dxf>
      <fill>
        <patternFill patternType="solid">
          <fgColor rgb="FFF6B26B"/>
          <bgColor rgb="FFF6B26B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DD7E6B"/>
          <bgColor rgb="FFDD7E6B"/>
        </patternFill>
      </fill>
    </dxf>
    <dxf>
      <fill>
        <patternFill patternType="solid">
          <fgColor rgb="FFF6B26B"/>
          <bgColor rgb="FFF6B26B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microsoft.com/office/2022/10/relationships/richValueRel" Target="richData/richValueRel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alcChain" Target="calcChain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3B04F-3A41-46E6-B865-DFBC8F24AD3C}">
  <sheetPr>
    <tabColor theme="9" tint="0.59999389629810485"/>
    <outlinePr summaryBelow="0" summaryRight="0"/>
    <pageSetUpPr fitToPage="1"/>
  </sheetPr>
  <dimension ref="A1:R28"/>
  <sheetViews>
    <sheetView topLeftCell="A4" workbookViewId="0">
      <selection activeCell="C18" sqref="C18"/>
    </sheetView>
  </sheetViews>
  <sheetFormatPr defaultColWidth="12.5703125" defaultRowHeight="15.75" customHeight="1"/>
  <cols>
    <col min="1" max="1" width="34" style="26" customWidth="1"/>
    <col min="2" max="2" width="12.5703125" style="26" customWidth="1"/>
    <col min="3" max="3" width="18.5703125" style="26" customWidth="1"/>
    <col min="4" max="4" width="17" style="26" customWidth="1"/>
    <col min="5" max="5" width="14.5703125" style="26" customWidth="1"/>
    <col min="6" max="6" width="16.140625" style="26" bestFit="1" customWidth="1"/>
    <col min="7" max="7" width="18" style="26" customWidth="1"/>
    <col min="8" max="8" width="12.7109375" style="26" customWidth="1"/>
    <col min="9" max="9" width="18" style="26" bestFit="1" customWidth="1"/>
    <col min="10" max="16384" width="12.5703125" style="26"/>
  </cols>
  <sheetData>
    <row r="1" spans="1:18" ht="81.75" customHeight="1">
      <c r="A1" s="361" t="e" vm="1">
        <v>#VALUE!</v>
      </c>
      <c r="B1" s="361"/>
    </row>
    <row r="2" spans="1:18" ht="13.5">
      <c r="B2" s="27"/>
      <c r="C2" s="27"/>
    </row>
    <row r="3" spans="1:18" ht="45">
      <c r="A3" s="363" t="s">
        <v>0</v>
      </c>
      <c r="B3" s="363"/>
      <c r="C3" s="363"/>
      <c r="D3" s="363"/>
      <c r="E3" s="363"/>
      <c r="F3" s="363"/>
      <c r="G3" s="363"/>
    </row>
    <row r="4" spans="1:18" ht="23.25" customHeight="1">
      <c r="A4" s="153" t="s">
        <v>1</v>
      </c>
      <c r="B4" s="362">
        <f ca="1">TODAY()</f>
        <v>46058</v>
      </c>
      <c r="C4" s="362"/>
      <c r="D4" s="28"/>
      <c r="E4" s="28"/>
      <c r="F4" s="28"/>
      <c r="G4" s="28"/>
    </row>
    <row r="5" spans="1:18" ht="9.75" customHeight="1" thickBot="1">
      <c r="A5" s="29"/>
      <c r="B5" s="28"/>
      <c r="C5" s="28"/>
      <c r="D5" s="28"/>
      <c r="E5" s="28"/>
      <c r="F5" s="28"/>
      <c r="G5" s="28"/>
      <c r="R5" s="30"/>
    </row>
    <row r="6" spans="1:18" ht="28.5">
      <c r="A6" s="31"/>
      <c r="B6" s="186" t="s">
        <v>2</v>
      </c>
      <c r="C6" s="187" t="s">
        <v>3</v>
      </c>
      <c r="D6" s="187" t="s">
        <v>4</v>
      </c>
      <c r="E6" s="188" t="s">
        <v>5</v>
      </c>
      <c r="F6" s="187" t="s">
        <v>6</v>
      </c>
      <c r="G6" s="189" t="s">
        <v>7</v>
      </c>
      <c r="R6" s="30"/>
    </row>
    <row r="7" spans="1:18" ht="21.75" thickBot="1">
      <c r="A7" s="51" t="s">
        <v>8</v>
      </c>
      <c r="B7" s="148"/>
      <c r="C7" s="33"/>
      <c r="D7" s="32"/>
      <c r="E7" s="33"/>
      <c r="F7" s="33"/>
      <c r="G7" s="33"/>
      <c r="R7" s="30"/>
    </row>
    <row r="8" spans="1:18" ht="16.5" thickBot="1">
      <c r="A8" s="146" t="s">
        <v>9</v>
      </c>
      <c r="B8" s="41">
        <f>Commercial!C84-Commercial!C82</f>
        <v>15</v>
      </c>
      <c r="C8" s="149">
        <f>Commercial!D84-Commercial!D82</f>
        <v>21709121.98</v>
      </c>
      <c r="D8" s="143">
        <f>Commercial!E84-Commercial!E82</f>
        <v>14872621.709999997</v>
      </c>
      <c r="E8" s="149">
        <f>Commercial!G84-Commercial!G82</f>
        <v>1279679.4500000002</v>
      </c>
      <c r="F8" s="149">
        <f>Commercial!L39</f>
        <v>13580239.979999999</v>
      </c>
      <c r="G8" s="150">
        <f>Commercial!J84-Commercial!J82</f>
        <v>6836500.2700000005</v>
      </c>
      <c r="I8" s="179"/>
      <c r="R8" s="30"/>
    </row>
    <row r="9" spans="1:18" ht="16.5" thickBot="1">
      <c r="A9" s="147" t="s">
        <v>10</v>
      </c>
      <c r="B9" s="43">
        <f>Commercial!C86</f>
        <v>16</v>
      </c>
      <c r="C9" s="151">
        <f>Commercial!D86</f>
        <v>7078105.7999999998</v>
      </c>
      <c r="D9" s="145">
        <f>Commercial!E86</f>
        <v>7012831.25</v>
      </c>
      <c r="E9" s="151">
        <f>Commercial!G86</f>
        <v>0</v>
      </c>
      <c r="F9" s="151">
        <f>D9</f>
        <v>7012831.25</v>
      </c>
      <c r="G9" s="152">
        <f>Commercial!J86</f>
        <v>65274.550000000047</v>
      </c>
      <c r="I9" s="179"/>
      <c r="R9" s="30"/>
    </row>
    <row r="10" spans="1:18" ht="16.5" thickBot="1">
      <c r="A10" s="37"/>
      <c r="B10" s="38" t="s">
        <v>11</v>
      </c>
      <c r="C10" s="164">
        <f>SUM(C8:C9)</f>
        <v>28787227.780000001</v>
      </c>
      <c r="D10" s="164">
        <f>SUM(D8:D9)</f>
        <v>21885452.959999997</v>
      </c>
      <c r="E10" s="164">
        <f>SUM(E8:E9)</f>
        <v>1279679.4500000002</v>
      </c>
      <c r="F10" s="164">
        <f>SUM(F8:F9)</f>
        <v>20593071.229999997</v>
      </c>
      <c r="G10" s="164">
        <f>SUM(G8:G9)</f>
        <v>6901774.8200000003</v>
      </c>
      <c r="R10" s="30"/>
    </row>
    <row r="11" spans="1:18" ht="16.5" thickBot="1">
      <c r="A11" s="37"/>
      <c r="B11" s="39"/>
      <c r="C11" s="33"/>
      <c r="D11" s="40"/>
      <c r="E11" s="33"/>
      <c r="F11" s="33"/>
      <c r="G11" s="33"/>
      <c r="R11" s="30"/>
    </row>
    <row r="12" spans="1:18" ht="21.75" thickBot="1">
      <c r="A12" s="161" t="s">
        <v>12</v>
      </c>
      <c r="B12" s="155"/>
      <c r="C12" s="33"/>
      <c r="D12" s="32"/>
      <c r="E12" s="33"/>
      <c r="F12" s="33"/>
      <c r="G12" s="33"/>
      <c r="R12" s="30"/>
    </row>
    <row r="13" spans="1:18" ht="16.5" thickBot="1">
      <c r="A13" s="34" t="s">
        <v>9</v>
      </c>
      <c r="B13" s="41">
        <f>Residential!C120-Residential!C118</f>
        <v>13</v>
      </c>
      <c r="C13" s="149">
        <f>Residential!D120-Residential!D118</f>
        <v>316891.98000000004</v>
      </c>
      <c r="D13" s="143">
        <f>Residential!E120-Residential!E118</f>
        <v>168293.64</v>
      </c>
      <c r="E13" s="143">
        <f>Residential!G120-Residential!G118</f>
        <v>39773.589999999997</v>
      </c>
      <c r="F13" s="143">
        <f>Residential!H120-Residential!H118</f>
        <v>128520.05</v>
      </c>
      <c r="G13" s="143">
        <f>Residential!J120-Residential!J118</f>
        <v>148598.34</v>
      </c>
      <c r="I13" s="179"/>
      <c r="R13" s="30"/>
    </row>
    <row r="14" spans="1:18" ht="16.5" thickBot="1">
      <c r="A14" s="42" t="s">
        <v>10</v>
      </c>
      <c r="B14" s="43">
        <f>Residential!C122</f>
        <v>48</v>
      </c>
      <c r="C14" s="151">
        <f>Residential!D122</f>
        <v>1284794.5999999999</v>
      </c>
      <c r="D14" s="151">
        <f>Residential!E122</f>
        <v>1284228.17</v>
      </c>
      <c r="E14" s="151">
        <f>Residential!G122</f>
        <v>66569.759999999995</v>
      </c>
      <c r="F14" s="151">
        <f>Residential!H122</f>
        <v>1217658.4100000001</v>
      </c>
      <c r="G14" s="151">
        <f>Residential!J122</f>
        <v>566.42999999999665</v>
      </c>
      <c r="I14" s="179"/>
      <c r="R14" s="30"/>
    </row>
    <row r="15" spans="1:18" ht="16.5" thickBot="1">
      <c r="A15" s="37"/>
      <c r="B15" s="38" t="s">
        <v>11</v>
      </c>
      <c r="C15" s="165">
        <f>SUM(C13:C14)</f>
        <v>1601686.5799999998</v>
      </c>
      <c r="D15" s="165">
        <f>SUM(D13:D14)</f>
        <v>1452521.81</v>
      </c>
      <c r="E15" s="165">
        <f>SUM(E13:E14)</f>
        <v>106343.34999999999</v>
      </c>
      <c r="F15" s="165">
        <f>SUM(F13:F14)</f>
        <v>1346178.4600000002</v>
      </c>
      <c r="G15" s="165">
        <f>SUM(G13:G14)</f>
        <v>149164.76999999999</v>
      </c>
      <c r="R15" s="30"/>
    </row>
    <row r="16" spans="1:18" ht="16.5" thickBot="1">
      <c r="A16" s="37"/>
      <c r="B16" s="38"/>
      <c r="C16" s="33"/>
      <c r="D16" s="40"/>
      <c r="E16" s="33"/>
      <c r="F16" s="33"/>
      <c r="G16" s="33"/>
      <c r="R16" s="30"/>
    </row>
    <row r="17" spans="1:18" ht="21.75" thickBot="1">
      <c r="A17" s="50" t="s">
        <v>13</v>
      </c>
      <c r="B17" s="155"/>
      <c r="C17" s="44"/>
      <c r="D17" s="44"/>
      <c r="E17" s="44"/>
      <c r="F17" s="44"/>
      <c r="G17" s="44"/>
      <c r="R17" s="30"/>
    </row>
    <row r="18" spans="1:18" ht="16.5" thickBot="1">
      <c r="A18" s="34" t="s">
        <v>9</v>
      </c>
      <c r="B18" s="35">
        <f>Repairs!C121-Repairs!C119</f>
        <v>1</v>
      </c>
      <c r="C18" s="45">
        <f>Repairs!D121-Repairs!D119</f>
        <v>12000</v>
      </c>
      <c r="D18" s="162">
        <f>Repairs!E121-Repairs!E119</f>
        <v>12000</v>
      </c>
      <c r="E18" s="45">
        <f>Repairs!F121-Repairs!F119</f>
        <v>0</v>
      </c>
      <c r="F18" s="36">
        <f>Repairs!H121-Repairs!H119</f>
        <v>12000</v>
      </c>
      <c r="G18" s="36">
        <f>Repairs!I121-Repairs!I119</f>
        <v>0</v>
      </c>
      <c r="I18" s="179"/>
      <c r="R18" s="30"/>
    </row>
    <row r="19" spans="1:18" ht="16.5" thickBot="1">
      <c r="A19" s="46" t="s">
        <v>14</v>
      </c>
      <c r="B19" s="47">
        <f>Repairs!C123</f>
        <v>47</v>
      </c>
      <c r="C19" s="48">
        <f>Repairs!D123</f>
        <v>241356.66999999998</v>
      </c>
      <c r="D19" s="163">
        <f>Repairs!E123</f>
        <v>230921.66999999998</v>
      </c>
      <c r="E19" s="48">
        <f>Repairs!F123</f>
        <v>4625</v>
      </c>
      <c r="F19" s="49">
        <f>Repairs!H123</f>
        <v>228796.66999999998</v>
      </c>
      <c r="G19" s="49">
        <f>Repairs!I123</f>
        <v>10435</v>
      </c>
      <c r="I19" s="179"/>
      <c r="R19" s="30"/>
    </row>
    <row r="20" spans="1:18" ht="16.5" thickBot="1">
      <c r="B20" s="38" t="s">
        <v>11</v>
      </c>
      <c r="C20" s="166">
        <f>SUM(C18:C19)</f>
        <v>253356.66999999998</v>
      </c>
      <c r="D20" s="166">
        <f>SUM(D18:D19)</f>
        <v>242921.66999999998</v>
      </c>
      <c r="E20" s="166">
        <f t="shared" ref="E20:G20" si="0">SUM(E18:E19)</f>
        <v>4625</v>
      </c>
      <c r="F20" s="166">
        <f t="shared" si="0"/>
        <v>240796.66999999998</v>
      </c>
      <c r="G20" s="166">
        <f t="shared" si="0"/>
        <v>10435</v>
      </c>
      <c r="R20" s="30"/>
    </row>
    <row r="21" spans="1:18" ht="16.5" thickBot="1">
      <c r="A21" s="39"/>
      <c r="B21" s="39"/>
      <c r="C21" s="33"/>
      <c r="D21" s="32"/>
      <c r="E21" s="33"/>
      <c r="F21" s="33"/>
      <c r="G21" s="33"/>
      <c r="R21" s="30"/>
    </row>
    <row r="22" spans="1:18" ht="21.75" thickBot="1">
      <c r="A22" s="50" t="s">
        <v>15</v>
      </c>
      <c r="B22" s="155"/>
      <c r="C22" s="44"/>
      <c r="D22" s="44"/>
      <c r="E22" s="44"/>
      <c r="F22" s="44"/>
      <c r="G22" s="44"/>
      <c r="R22" s="30"/>
    </row>
    <row r="23" spans="1:18" ht="16.5" thickBot="1">
      <c r="A23" s="34" t="s">
        <v>9</v>
      </c>
      <c r="B23" s="35">
        <f>Maintenance!C114-Maintenance!C112</f>
        <v>0</v>
      </c>
      <c r="C23" s="45">
        <f>Maintenance!D114-Maintenance!D112</f>
        <v>0</v>
      </c>
      <c r="D23" s="162">
        <f>Maintenance!E114-Maintenance!E112</f>
        <v>0</v>
      </c>
      <c r="E23" s="45">
        <f>Maintenance!F114-Maintenance!F112</f>
        <v>0</v>
      </c>
      <c r="F23" s="36">
        <f>Maintenance!H114-Maintenance!H112</f>
        <v>0</v>
      </c>
      <c r="G23" s="36">
        <f>Maintenance!I114-Maintenance!I112</f>
        <v>0</v>
      </c>
      <c r="H23" s="168"/>
      <c r="I23" s="179"/>
      <c r="R23" s="30"/>
    </row>
    <row r="24" spans="1:18" ht="16.5" thickBot="1">
      <c r="A24" s="46" t="s">
        <v>14</v>
      </c>
      <c r="B24" s="47">
        <f>Maintenance!C116</f>
        <v>34</v>
      </c>
      <c r="C24" s="48">
        <f>Maintenance!D116</f>
        <v>199047.5</v>
      </c>
      <c r="D24" s="163">
        <f>Maintenance!E116</f>
        <v>142197.5</v>
      </c>
      <c r="E24" s="48">
        <f>Maintenance!F116</f>
        <v>42995.5</v>
      </c>
      <c r="F24" s="49">
        <f>Maintenance!H116</f>
        <v>108202</v>
      </c>
      <c r="G24" s="49">
        <f>Maintenance!I116</f>
        <v>56850</v>
      </c>
      <c r="H24" s="168"/>
      <c r="I24" s="179"/>
      <c r="R24" s="30"/>
    </row>
    <row r="25" spans="1:18" ht="16.5" thickBot="1">
      <c r="B25" s="38" t="s">
        <v>11</v>
      </c>
      <c r="C25" s="166">
        <f>SUM(C23:C24)</f>
        <v>199047.5</v>
      </c>
      <c r="D25" s="166">
        <f>SUM(D23:D24)</f>
        <v>142197.5</v>
      </c>
      <c r="E25" s="166">
        <f t="shared" ref="E25:G25" si="1">SUM(E23:E24)</f>
        <v>42995.5</v>
      </c>
      <c r="F25" s="166">
        <f t="shared" si="1"/>
        <v>108202</v>
      </c>
      <c r="G25" s="166">
        <f t="shared" si="1"/>
        <v>56850</v>
      </c>
      <c r="R25" s="30"/>
    </row>
    <row r="26" spans="1:18" ht="16.5" thickBot="1">
      <c r="B26" s="38"/>
      <c r="C26" s="33"/>
      <c r="D26" s="33"/>
      <c r="E26" s="33"/>
      <c r="F26" s="33"/>
      <c r="G26" s="33"/>
      <c r="R26" s="30"/>
    </row>
    <row r="27" spans="1:18" ht="16.5" thickBot="1">
      <c r="A27" s="110" t="s">
        <v>16</v>
      </c>
      <c r="B27" s="144" t="s">
        <v>9</v>
      </c>
      <c r="C27" s="167">
        <f>SUM(C8,C13,C18,C23)</f>
        <v>22038013.960000001</v>
      </c>
      <c r="D27" s="167">
        <f t="shared" ref="D27:F27" si="2">SUM(D8,D13,D18,D23)</f>
        <v>15052915.349999998</v>
      </c>
      <c r="E27" s="167">
        <f t="shared" si="2"/>
        <v>1319453.0400000003</v>
      </c>
      <c r="F27" s="167">
        <f t="shared" si="2"/>
        <v>13720760.029999999</v>
      </c>
      <c r="G27" s="167">
        <f>SUM(G8,G13,G18,G23)</f>
        <v>6985098.6100000003</v>
      </c>
      <c r="I27" s="179"/>
      <c r="J27" s="180"/>
      <c r="Q27" s="30"/>
    </row>
    <row r="28" spans="1:18" ht="15.75" customHeight="1" thickBot="1">
      <c r="B28" s="144" t="s">
        <v>17</v>
      </c>
      <c r="C28" s="167">
        <f>SUM(C9,C14,C19,C24)</f>
        <v>8803304.5700000003</v>
      </c>
      <c r="D28" s="167">
        <f t="shared" ref="D28:G28" si="3">SUM(D9,D14,D19,D24)</f>
        <v>8670178.5899999999</v>
      </c>
      <c r="E28" s="167">
        <f t="shared" si="3"/>
        <v>114190.26</v>
      </c>
      <c r="F28" s="167">
        <f t="shared" si="3"/>
        <v>8567488.3300000001</v>
      </c>
      <c r="G28" s="167">
        <f t="shared" si="3"/>
        <v>133125.98000000004</v>
      </c>
      <c r="R28" s="30"/>
    </row>
  </sheetData>
  <mergeCells count="3">
    <mergeCell ref="A1:B1"/>
    <mergeCell ref="B4:C4"/>
    <mergeCell ref="A3:G3"/>
  </mergeCells>
  <conditionalFormatting sqref="A12:A13 A15:A16">
    <cfRule type="containsText" dxfId="38" priority="32" operator="containsText" text="complete">
      <formula>NOT(ISERROR(SEARCH(("complete"),(A12))))</formula>
    </cfRule>
    <cfRule type="containsText" dxfId="37" priority="33" operator="containsText" text="pending start">
      <formula>NOT(ISERROR(SEARCH(("pending start"),(A12))))</formula>
    </cfRule>
    <cfRule type="containsText" dxfId="36" priority="34" operator="containsText" text="permitting">
      <formula>NOT(ISERROR(SEARCH(("permitting"),(A12))))</formula>
    </cfRule>
    <cfRule type="containsText" dxfId="35" priority="35" operator="containsText" text="pending permit revision">
      <formula>NOT(ISERROR(SEARCH(("pending permit revision"),(A12))))</formula>
    </cfRule>
    <cfRule type="containsText" dxfId="34" priority="36" operator="containsText" text="foaming">
      <formula>NOT(ISERROR(SEARCH(("foaming"),(A12))))</formula>
    </cfRule>
    <cfRule type="containsText" dxfId="33" priority="37" operator="containsText" text="coating &amp; granules">
      <formula>NOT(ISERROR(SEARCH(("coating &amp; granules"),(A12))))</formula>
    </cfRule>
    <cfRule type="containsText" dxfId="32" priority="38" operator="containsText" text="pending final inspection">
      <formula>NOT(ISERROR(SEARCH(("pending final inspection"),(A12))))</formula>
    </cfRule>
    <cfRule type="containsText" dxfId="31" priority="39" operator="containsText" text="pending permit">
      <formula>NOT(ISERROR(SEARCH(("pending permit"),(A12))))</formula>
    </cfRule>
    <cfRule type="colorScale" priority="40">
      <colorScale>
        <cfvo type="min"/>
        <cfvo type="max"/>
        <color rgb="FF57BB8A"/>
        <color rgb="FFFFFFFF"/>
      </colorScale>
    </cfRule>
  </conditionalFormatting>
  <conditionalFormatting sqref="C27:C28">
    <cfRule type="colorScale" priority="58">
      <colorScale>
        <cfvo type="min"/>
        <cfvo type="max"/>
        <color rgb="FF57BB8A"/>
        <color rgb="FFFFFFFF"/>
      </colorScale>
    </cfRule>
  </conditionalFormatting>
  <conditionalFormatting sqref="C27:G28">
    <cfRule type="containsText" dxfId="30" priority="1" operator="containsText" text="complete">
      <formula>NOT(ISERROR(SEARCH(("complete"),(C27))))</formula>
    </cfRule>
    <cfRule type="containsText" dxfId="29" priority="2" operator="containsText" text="pending start">
      <formula>NOT(ISERROR(SEARCH(("pending start"),(C27))))</formula>
    </cfRule>
    <cfRule type="containsText" dxfId="28" priority="3" operator="containsText" text="permitting">
      <formula>NOT(ISERROR(SEARCH(("permitting"),(C27))))</formula>
    </cfRule>
    <cfRule type="containsText" dxfId="27" priority="4" operator="containsText" text="pending permit revision">
      <formula>NOT(ISERROR(SEARCH(("pending permit revision"),(C27))))</formula>
    </cfRule>
    <cfRule type="containsText" dxfId="26" priority="5" operator="containsText" text="foaming">
      <formula>NOT(ISERROR(SEARCH(("foaming"),(C27))))</formula>
    </cfRule>
    <cfRule type="containsText" dxfId="25" priority="6" operator="containsText" text="coating &amp; granules">
      <formula>NOT(ISERROR(SEARCH(("coating &amp; granules"),(C27))))</formula>
    </cfRule>
    <cfRule type="containsText" dxfId="24" priority="7" operator="containsText" text="pending final inspection">
      <formula>NOT(ISERROR(SEARCH(("pending final inspection"),(C27))))</formula>
    </cfRule>
    <cfRule type="containsText" dxfId="23" priority="8" operator="containsText" text="pending permit">
      <formula>NOT(ISERROR(SEARCH(("pending permit"),(C27))))</formula>
    </cfRule>
  </conditionalFormatting>
  <conditionalFormatting sqref="D9">
    <cfRule type="cellIs" dxfId="22" priority="31" operator="equal">
      <formula>1</formula>
    </cfRule>
  </conditionalFormatting>
  <conditionalFormatting sqref="D19">
    <cfRule type="cellIs" dxfId="21" priority="20" operator="equal">
      <formula>1</formula>
    </cfRule>
  </conditionalFormatting>
  <conditionalFormatting sqref="D24">
    <cfRule type="cellIs" dxfId="20" priority="19" operator="equal">
      <formula>1</formula>
    </cfRule>
  </conditionalFormatting>
  <conditionalFormatting sqref="D27:G28">
    <cfRule type="colorScale" priority="9">
      <colorScale>
        <cfvo type="min"/>
        <cfvo type="max"/>
        <color rgb="FF57BB8A"/>
        <color rgb="FFFFFFFF"/>
      </colorScale>
    </cfRule>
  </conditionalFormatting>
  <printOptions horizontalCentered="1"/>
  <pageMargins left="0.25" right="0.25" top="0.75" bottom="0.75" header="0.3" footer="0.3"/>
  <pageSetup scale="96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FF350-C895-4169-B0B3-281F36241862}">
  <sheetPr filterMode="1">
    <tabColor theme="5" tint="0.39997558519241921"/>
    <pageSetUpPr fitToPage="1"/>
  </sheetPr>
  <dimension ref="A1:AF93"/>
  <sheetViews>
    <sheetView zoomScaleNormal="100" workbookViewId="0">
      <pane xSplit="6" ySplit="7" topLeftCell="G26" activePane="bottomRight" state="frozen"/>
      <selection pane="bottomRight" activeCell="A27" sqref="A27"/>
      <selection pane="bottomLeft"/>
      <selection pane="topRight"/>
    </sheetView>
  </sheetViews>
  <sheetFormatPr defaultColWidth="9.140625" defaultRowHeight="15"/>
  <cols>
    <col min="1" max="1" width="3.28515625" customWidth="1"/>
    <col min="2" max="2" width="34.28515625" customWidth="1"/>
    <col min="3" max="3" width="21.42578125" customWidth="1"/>
    <col min="4" max="4" width="14.5703125" customWidth="1"/>
    <col min="5" max="5" width="15.140625" hidden="1" customWidth="1"/>
    <col min="6" max="6" width="2.140625" customWidth="1"/>
    <col min="7" max="7" width="20.42578125" style="302" customWidth="1"/>
    <col min="8" max="8" width="17.5703125" style="302" customWidth="1"/>
    <col min="9" max="9" width="2.140625" customWidth="1"/>
    <col min="10" max="10" width="17" customWidth="1"/>
    <col min="11" max="11" width="17.7109375" customWidth="1"/>
    <col min="12" max="12" width="21.42578125" customWidth="1"/>
    <col min="13" max="13" width="18.42578125" customWidth="1"/>
    <col min="14" max="14" width="18" customWidth="1"/>
    <col min="15" max="15" width="19.7109375" customWidth="1"/>
    <col min="16" max="16" width="156.5703125" customWidth="1"/>
    <col min="17" max="17" width="14" customWidth="1"/>
    <col min="18" max="23" width="104.85546875" customWidth="1"/>
    <col min="24" max="24" width="24.85546875" customWidth="1"/>
    <col min="25" max="25" width="9.140625" bestFit="1" customWidth="1"/>
    <col min="26" max="26" width="14.140625" customWidth="1"/>
    <col min="27" max="29" width="9.140625" bestFit="1" customWidth="1"/>
    <col min="30" max="30" width="0" hidden="1" customWidth="1"/>
    <col min="31" max="31" width="69.140625" hidden="1" customWidth="1"/>
    <col min="32" max="32" width="12.5703125" bestFit="1" customWidth="1"/>
    <col min="33" max="51" width="9.140625" bestFit="1" customWidth="1"/>
  </cols>
  <sheetData>
    <row r="1" spans="1:32" s="277" customFormat="1" ht="43.5" hidden="1" customHeight="1">
      <c r="A1" s="276" t="s">
        <v>18</v>
      </c>
      <c r="B1" s="2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62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D1"/>
      <c r="AE1"/>
    </row>
    <row r="2" spans="1:32" ht="33" hidden="1" customHeight="1">
      <c r="A2" s="6"/>
      <c r="B2" s="7" t="s">
        <v>1</v>
      </c>
      <c r="C2" s="365">
        <f ca="1">TODAY()</f>
        <v>46058</v>
      </c>
      <c r="D2" s="365"/>
      <c r="F2" s="94"/>
      <c r="G2" s="94"/>
      <c r="H2" s="95"/>
      <c r="I2" s="95"/>
      <c r="K2" s="84"/>
      <c r="L2" s="84"/>
      <c r="M2" s="4"/>
      <c r="N2" s="4"/>
      <c r="O2" s="62"/>
      <c r="P2" s="209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spans="1:32" s="279" customFormat="1" ht="38.25" hidden="1" customHeight="1">
      <c r="A3" s="278"/>
      <c r="B3" s="366" t="s">
        <v>19</v>
      </c>
      <c r="C3" s="366"/>
      <c r="D3" s="366"/>
      <c r="E3" s="366"/>
      <c r="F3" s="366"/>
      <c r="G3" s="366"/>
      <c r="H3" s="366"/>
      <c r="I3" s="366"/>
      <c r="J3" s="366"/>
      <c r="K3" s="366"/>
      <c r="L3" s="366"/>
      <c r="M3" s="366"/>
      <c r="N3" s="366"/>
      <c r="O3" s="366"/>
      <c r="X3" s="280"/>
      <c r="Y3" s="280"/>
      <c r="Z3" s="280"/>
      <c r="AA3" s="280"/>
      <c r="AB3" s="280"/>
      <c r="AD3"/>
      <c r="AE3"/>
    </row>
    <row r="4" spans="1:32" ht="14.25" customHeight="1">
      <c r="A4" s="6"/>
      <c r="B4" s="278"/>
      <c r="C4" s="281"/>
      <c r="D4" s="281"/>
      <c r="E4" s="281"/>
      <c r="F4" s="281"/>
      <c r="G4" s="281"/>
      <c r="H4" s="281"/>
      <c r="I4" s="281"/>
      <c r="J4" s="281"/>
      <c r="K4" s="281" t="s">
        <v>20</v>
      </c>
      <c r="L4" s="281"/>
      <c r="M4" s="281"/>
      <c r="N4" s="281"/>
      <c r="O4" s="291"/>
      <c r="X4" s="5"/>
      <c r="Y4" s="5"/>
      <c r="Z4" s="5"/>
      <c r="AA4" s="5"/>
      <c r="AB4" s="5"/>
    </row>
    <row r="5" spans="1:32" ht="38.25" customHeight="1">
      <c r="A5" s="6"/>
      <c r="B5" s="324"/>
      <c r="C5" s="324" t="s">
        <v>18</v>
      </c>
      <c r="D5" s="323"/>
      <c r="F5" s="94"/>
      <c r="G5" s="94"/>
      <c r="H5" s="95"/>
      <c r="I5" s="95"/>
      <c r="K5" s="84"/>
      <c r="L5" s="4"/>
      <c r="M5" s="7" t="s">
        <v>1</v>
      </c>
      <c r="N5" s="365">
        <f ca="1">TODAY()</f>
        <v>46058</v>
      </c>
      <c r="O5" s="365"/>
      <c r="P5" s="364"/>
      <c r="Q5" s="364"/>
      <c r="X5" s="5"/>
      <c r="Y5" s="5"/>
      <c r="Z5" s="5"/>
      <c r="AA5" s="5"/>
      <c r="AB5" s="5"/>
    </row>
    <row r="6" spans="1:32" ht="30.75" customHeight="1">
      <c r="A6" s="6"/>
      <c r="B6" s="367" t="s">
        <v>19</v>
      </c>
      <c r="C6" s="367"/>
      <c r="D6" s="367"/>
      <c r="E6" s="367"/>
      <c r="F6" s="367"/>
      <c r="G6" s="367"/>
      <c r="H6" s="367"/>
      <c r="I6" s="367"/>
      <c r="J6" s="367"/>
      <c r="K6" s="367"/>
      <c r="L6" s="367"/>
      <c r="M6" s="367"/>
      <c r="N6" s="367"/>
      <c r="O6" s="367"/>
      <c r="P6" s="364"/>
      <c r="Q6" s="364"/>
      <c r="X6" s="5"/>
      <c r="Y6" s="5"/>
      <c r="Z6" s="5"/>
      <c r="AA6" s="5"/>
      <c r="AB6" s="5"/>
    </row>
    <row r="7" spans="1:32" ht="53.25" customHeight="1">
      <c r="A7" s="63" t="s">
        <v>20</v>
      </c>
      <c r="B7" s="83" t="s">
        <v>21</v>
      </c>
      <c r="C7" s="82" t="s">
        <v>22</v>
      </c>
      <c r="D7" s="82" t="s">
        <v>23</v>
      </c>
      <c r="E7" s="82" t="s">
        <v>24</v>
      </c>
      <c r="F7" s="183"/>
      <c r="G7" s="310" t="s">
        <v>25</v>
      </c>
      <c r="H7" s="310" t="s">
        <v>26</v>
      </c>
      <c r="I7" s="183"/>
      <c r="J7" s="318" t="s">
        <v>3</v>
      </c>
      <c r="K7" s="318" t="s">
        <v>27</v>
      </c>
      <c r="L7" s="318" t="s">
        <v>28</v>
      </c>
      <c r="M7" s="319" t="s">
        <v>5</v>
      </c>
      <c r="N7" s="318" t="s">
        <v>29</v>
      </c>
      <c r="O7" s="318" t="s">
        <v>30</v>
      </c>
      <c r="P7" s="321" t="s">
        <v>31</v>
      </c>
      <c r="Q7" s="322" t="s">
        <v>32</v>
      </c>
      <c r="R7" s="74"/>
      <c r="S7" s="74"/>
      <c r="T7" s="74"/>
      <c r="U7" s="74"/>
      <c r="V7" s="74"/>
      <c r="W7" s="74"/>
      <c r="X7" s="8"/>
      <c r="Y7" s="8"/>
      <c r="Z7" s="81" t="s">
        <v>25</v>
      </c>
      <c r="AA7" s="8"/>
      <c r="AB7" s="8"/>
    </row>
    <row r="8" spans="1:32" ht="72" customHeight="1">
      <c r="B8" s="127" t="s">
        <v>33</v>
      </c>
      <c r="C8" s="128" t="s">
        <v>34</v>
      </c>
      <c r="D8" s="129" t="s">
        <v>35</v>
      </c>
      <c r="E8" s="198" t="s">
        <v>36</v>
      </c>
      <c r="F8" s="183"/>
      <c r="G8" s="311" t="s">
        <v>37</v>
      </c>
      <c r="H8" s="312" t="s">
        <v>38</v>
      </c>
      <c r="I8" s="183"/>
      <c r="J8" s="205">
        <v>135500</v>
      </c>
      <c r="K8" s="60">
        <v>151228.44</v>
      </c>
      <c r="L8" s="60">
        <v>118031.1</v>
      </c>
      <c r="M8" s="122">
        <v>33197.339999999997</v>
      </c>
      <c r="N8" s="64">
        <f t="shared" ref="N8:N38" si="0">K8/J8</f>
        <v>1.1160770479704798</v>
      </c>
      <c r="O8" s="60">
        <f t="shared" ref="O8:O38" si="1">J8-K8</f>
        <v>-15728.440000000002</v>
      </c>
      <c r="P8" s="261" t="s">
        <v>39</v>
      </c>
      <c r="Q8" s="131" t="s">
        <v>40</v>
      </c>
      <c r="R8" s="75"/>
      <c r="S8" s="75"/>
      <c r="T8" s="75"/>
      <c r="U8" s="75"/>
      <c r="V8" s="75"/>
      <c r="W8" s="75"/>
      <c r="AE8" s="16"/>
    </row>
    <row r="9" spans="1:32" ht="72" customHeight="1">
      <c r="B9" s="127" t="s">
        <v>41</v>
      </c>
      <c r="C9" s="128" t="s">
        <v>34</v>
      </c>
      <c r="D9" s="129" t="s">
        <v>42</v>
      </c>
      <c r="E9" s="198" t="s">
        <v>42</v>
      </c>
      <c r="F9" s="183"/>
      <c r="G9" s="311" t="s">
        <v>37</v>
      </c>
      <c r="H9" s="312" t="s">
        <v>38</v>
      </c>
      <c r="I9" s="183"/>
      <c r="J9" s="205">
        <v>282237</v>
      </c>
      <c r="K9" s="60">
        <v>84671.1</v>
      </c>
      <c r="L9" s="60">
        <v>84671.1</v>
      </c>
      <c r="M9" s="122">
        <v>0</v>
      </c>
      <c r="N9" s="64">
        <f t="shared" si="0"/>
        <v>0.30000000000000004</v>
      </c>
      <c r="O9" s="271">
        <f t="shared" si="1"/>
        <v>197565.9</v>
      </c>
      <c r="P9" s="270" t="s">
        <v>43</v>
      </c>
      <c r="Q9" s="254" t="s">
        <v>40</v>
      </c>
      <c r="R9" s="75"/>
      <c r="S9" s="75"/>
      <c r="T9" s="75"/>
      <c r="U9" s="75"/>
      <c r="V9" s="75"/>
      <c r="W9" s="75"/>
      <c r="AE9" s="16"/>
    </row>
    <row r="10" spans="1:32" ht="72" customHeight="1">
      <c r="B10" s="127" t="s">
        <v>44</v>
      </c>
      <c r="C10" s="128" t="s">
        <v>45</v>
      </c>
      <c r="D10" s="129" t="s">
        <v>35</v>
      </c>
      <c r="E10" s="199" t="s">
        <v>46</v>
      </c>
      <c r="F10" s="183"/>
      <c r="G10" s="313" t="s">
        <v>37</v>
      </c>
      <c r="H10" s="312" t="s">
        <v>38</v>
      </c>
      <c r="I10" s="183"/>
      <c r="J10" s="205">
        <v>174382.54</v>
      </c>
      <c r="K10" s="60">
        <v>8719.1299999999992</v>
      </c>
      <c r="L10" s="60">
        <v>8719.1299999999992</v>
      </c>
      <c r="M10" s="122">
        <v>0</v>
      </c>
      <c r="N10" s="64">
        <f t="shared" si="0"/>
        <v>5.0000017203557186E-2</v>
      </c>
      <c r="O10" s="60">
        <f t="shared" si="1"/>
        <v>165663.41</v>
      </c>
      <c r="P10" s="261" t="s">
        <v>43</v>
      </c>
      <c r="Q10" s="131" t="s">
        <v>40</v>
      </c>
      <c r="R10" s="75"/>
      <c r="S10" s="75"/>
      <c r="T10" s="75"/>
      <c r="U10" s="75"/>
      <c r="V10" s="75"/>
      <c r="W10" s="75"/>
      <c r="AE10" s="16"/>
    </row>
    <row r="11" spans="1:32" ht="72" customHeight="1">
      <c r="A11" t="s">
        <v>47</v>
      </c>
      <c r="B11" s="85" t="s">
        <v>48</v>
      </c>
      <c r="C11" s="54" t="s">
        <v>34</v>
      </c>
      <c r="D11" s="96" t="s">
        <v>35</v>
      </c>
      <c r="E11" s="199" t="s">
        <v>42</v>
      </c>
      <c r="F11" s="183"/>
      <c r="G11" s="313" t="s">
        <v>37</v>
      </c>
      <c r="H11" s="314" t="s">
        <v>38</v>
      </c>
      <c r="I11" s="183"/>
      <c r="J11" s="206">
        <v>1479799</v>
      </c>
      <c r="K11" s="9">
        <v>570755.1</v>
      </c>
      <c r="L11" s="9">
        <v>434380.3</v>
      </c>
      <c r="M11" s="111">
        <v>136374.79999999999</v>
      </c>
      <c r="N11" s="10">
        <f t="shared" si="0"/>
        <v>0.38569771975788603</v>
      </c>
      <c r="O11" s="9">
        <f t="shared" si="1"/>
        <v>909043.9</v>
      </c>
      <c r="P11" s="262" t="s">
        <v>49</v>
      </c>
      <c r="Q11" s="131" t="s">
        <v>40</v>
      </c>
      <c r="R11" s="76"/>
      <c r="S11" s="76"/>
      <c r="T11" s="76"/>
      <c r="U11" s="76"/>
      <c r="V11" s="76"/>
      <c r="W11" s="76"/>
      <c r="Z11" t="s">
        <v>50</v>
      </c>
      <c r="AE11" s="16"/>
    </row>
    <row r="12" spans="1:32" ht="90" hidden="1" customHeight="1">
      <c r="B12" s="85" t="s">
        <v>51</v>
      </c>
      <c r="C12" s="54" t="s">
        <v>52</v>
      </c>
      <c r="D12" s="96" t="s">
        <v>35</v>
      </c>
      <c r="E12" s="199" t="s">
        <v>46</v>
      </c>
      <c r="F12" s="183"/>
      <c r="G12" s="203" t="s">
        <v>17</v>
      </c>
      <c r="H12" s="102" t="s">
        <v>38</v>
      </c>
      <c r="I12" s="183"/>
      <c r="J12" s="206">
        <v>41372.5</v>
      </c>
      <c r="K12" s="9">
        <v>41372.5</v>
      </c>
      <c r="L12" s="9"/>
      <c r="M12" s="111">
        <v>0</v>
      </c>
      <c r="N12" s="10">
        <f t="shared" si="0"/>
        <v>1</v>
      </c>
      <c r="O12" s="9">
        <f t="shared" si="1"/>
        <v>0</v>
      </c>
      <c r="P12" s="230"/>
      <c r="Q12" s="121" t="s">
        <v>38</v>
      </c>
      <c r="R12" s="75"/>
      <c r="S12" s="75"/>
      <c r="T12" s="75"/>
      <c r="U12" s="75"/>
      <c r="V12" s="75"/>
      <c r="W12" s="75"/>
      <c r="Z12" t="s">
        <v>17</v>
      </c>
      <c r="AE12" s="16"/>
    </row>
    <row r="13" spans="1:32" ht="90" hidden="1" customHeight="1">
      <c r="B13" s="85" t="s">
        <v>53</v>
      </c>
      <c r="C13" s="54" t="s">
        <v>54</v>
      </c>
      <c r="D13" s="96" t="s">
        <v>35</v>
      </c>
      <c r="E13" s="199" t="s">
        <v>42</v>
      </c>
      <c r="F13" s="183"/>
      <c r="G13" s="203" t="s">
        <v>17</v>
      </c>
      <c r="H13" s="102" t="s">
        <v>38</v>
      </c>
      <c r="I13" s="183"/>
      <c r="J13" s="206">
        <v>34752</v>
      </c>
      <c r="K13" s="9">
        <v>34752</v>
      </c>
      <c r="L13" s="9"/>
      <c r="M13" s="111">
        <v>0</v>
      </c>
      <c r="N13" s="10">
        <f t="shared" si="0"/>
        <v>1</v>
      </c>
      <c r="O13" s="9">
        <f t="shared" si="1"/>
        <v>0</v>
      </c>
      <c r="P13" s="117"/>
      <c r="Q13" s="53" t="s">
        <v>55</v>
      </c>
      <c r="R13" s="181"/>
      <c r="S13" s="181"/>
      <c r="T13" s="181"/>
      <c r="U13" s="181"/>
      <c r="V13" s="181"/>
      <c r="W13" s="181"/>
      <c r="Z13" t="s">
        <v>56</v>
      </c>
      <c r="AE13" s="16"/>
    </row>
    <row r="14" spans="1:32" ht="82.5" customHeight="1">
      <c r="B14" s="86" t="s">
        <v>57</v>
      </c>
      <c r="C14" s="54" t="s">
        <v>34</v>
      </c>
      <c r="D14" s="96" t="s">
        <v>35</v>
      </c>
      <c r="E14" s="201" t="s">
        <v>42</v>
      </c>
      <c r="F14" s="183"/>
      <c r="G14" s="313" t="s">
        <v>37</v>
      </c>
      <c r="H14" s="314" t="s">
        <v>38</v>
      </c>
      <c r="I14" s="183"/>
      <c r="J14" s="207">
        <v>1379892.75</v>
      </c>
      <c r="K14" s="11">
        <v>1511347.97</v>
      </c>
      <c r="L14" s="11">
        <v>1298987.6000000001</v>
      </c>
      <c r="M14" s="111">
        <v>199658.09</v>
      </c>
      <c r="N14" s="10">
        <f t="shared" si="0"/>
        <v>1.0952648095295812</v>
      </c>
      <c r="O14" s="9">
        <f t="shared" si="1"/>
        <v>-131455.21999999997</v>
      </c>
      <c r="P14" s="325" t="s">
        <v>58</v>
      </c>
      <c r="Q14" s="121" t="s">
        <v>55</v>
      </c>
      <c r="R14" s="77" t="s">
        <v>59</v>
      </c>
      <c r="S14" s="77"/>
      <c r="T14" s="77"/>
      <c r="U14" s="77"/>
      <c r="V14" s="77"/>
      <c r="W14" s="77"/>
      <c r="AE14" s="19"/>
      <c r="AF14" s="24"/>
    </row>
    <row r="15" spans="1:32" ht="90" customHeight="1">
      <c r="B15" s="86" t="s">
        <v>60</v>
      </c>
      <c r="C15" s="100" t="s">
        <v>34</v>
      </c>
      <c r="D15" s="101" t="s">
        <v>35</v>
      </c>
      <c r="E15" s="201" t="s">
        <v>36</v>
      </c>
      <c r="F15" s="183"/>
      <c r="G15" s="313" t="s">
        <v>37</v>
      </c>
      <c r="H15" s="314" t="s">
        <v>38</v>
      </c>
      <c r="I15" s="183"/>
      <c r="J15" s="207">
        <v>439157.47</v>
      </c>
      <c r="K15" s="11">
        <v>513937.13</v>
      </c>
      <c r="L15" s="11">
        <v>383848.42</v>
      </c>
      <c r="M15" s="111">
        <v>130088.71</v>
      </c>
      <c r="N15" s="10">
        <f t="shared" si="0"/>
        <v>1.1702798315146501</v>
      </c>
      <c r="O15" s="9">
        <f t="shared" si="1"/>
        <v>-74779.660000000033</v>
      </c>
      <c r="P15" s="262" t="s">
        <v>61</v>
      </c>
      <c r="Q15" s="121" t="s">
        <v>55</v>
      </c>
      <c r="S15" s="77"/>
      <c r="T15" s="77"/>
      <c r="U15" s="77"/>
      <c r="V15" s="77"/>
      <c r="W15" s="77"/>
      <c r="AE15" s="19"/>
      <c r="AF15" s="24"/>
    </row>
    <row r="16" spans="1:32" ht="72" hidden="1" customHeight="1">
      <c r="B16" s="86" t="s">
        <v>62</v>
      </c>
      <c r="C16" s="54" t="s">
        <v>63</v>
      </c>
      <c r="D16" s="96" t="s">
        <v>35</v>
      </c>
      <c r="E16" s="199" t="s">
        <v>42</v>
      </c>
      <c r="F16" s="183"/>
      <c r="G16" s="203" t="s">
        <v>17</v>
      </c>
      <c r="H16" s="102" t="s">
        <v>38</v>
      </c>
      <c r="I16" s="183"/>
      <c r="J16" s="206">
        <v>1945117.73</v>
      </c>
      <c r="K16" s="9">
        <v>1852763.26</v>
      </c>
      <c r="L16" s="9"/>
      <c r="M16" s="111">
        <v>0</v>
      </c>
      <c r="N16" s="10">
        <f t="shared" si="0"/>
        <v>0.95251985595751065</v>
      </c>
      <c r="O16" s="9">
        <f t="shared" si="1"/>
        <v>92354.469999999972</v>
      </c>
      <c r="P16" s="263"/>
      <c r="Q16" s="53" t="s">
        <v>64</v>
      </c>
      <c r="R16" s="77"/>
      <c r="S16" s="77"/>
      <c r="T16" s="77"/>
      <c r="U16" s="77"/>
      <c r="V16" s="77"/>
      <c r="W16" s="77"/>
      <c r="AE16" s="17" t="s">
        <v>65</v>
      </c>
    </row>
    <row r="17" spans="2:32" ht="18.75" hidden="1" customHeight="1">
      <c r="B17" s="85" t="s">
        <v>66</v>
      </c>
      <c r="C17" s="54" t="s">
        <v>54</v>
      </c>
      <c r="D17" s="96" t="s">
        <v>35</v>
      </c>
      <c r="E17" s="199" t="s">
        <v>42</v>
      </c>
      <c r="F17" s="183"/>
      <c r="G17" s="203" t="s">
        <v>17</v>
      </c>
      <c r="H17" s="102" t="s">
        <v>38</v>
      </c>
      <c r="I17" s="183"/>
      <c r="J17" s="206">
        <v>25000</v>
      </c>
      <c r="K17" s="9">
        <v>25000</v>
      </c>
      <c r="L17" s="9"/>
      <c r="M17" s="111"/>
      <c r="N17" s="10">
        <f t="shared" si="0"/>
        <v>1</v>
      </c>
      <c r="O17" s="9">
        <f t="shared" si="1"/>
        <v>0</v>
      </c>
      <c r="P17" s="113"/>
      <c r="Q17" s="53" t="s">
        <v>64</v>
      </c>
      <c r="Z17" t="s">
        <v>67</v>
      </c>
      <c r="AE17" s="16"/>
    </row>
    <row r="18" spans="2:32" ht="72" customHeight="1">
      <c r="B18" s="85" t="s">
        <v>68</v>
      </c>
      <c r="C18" s="54" t="s">
        <v>69</v>
      </c>
      <c r="D18" s="96" t="s">
        <v>35</v>
      </c>
      <c r="E18" s="199" t="s">
        <v>36</v>
      </c>
      <c r="F18" s="183"/>
      <c r="G18" s="313" t="s">
        <v>37</v>
      </c>
      <c r="H18" s="314" t="s">
        <v>38</v>
      </c>
      <c r="I18" s="183"/>
      <c r="J18" s="206">
        <v>639307.80000000005</v>
      </c>
      <c r="K18" s="9">
        <v>400443.4</v>
      </c>
      <c r="L18" s="9">
        <v>400443.4</v>
      </c>
      <c r="M18" s="111">
        <v>0</v>
      </c>
      <c r="N18" s="112">
        <f t="shared" si="0"/>
        <v>0.62637027109633259</v>
      </c>
      <c r="O18" s="9">
        <f t="shared" si="1"/>
        <v>238864.40000000002</v>
      </c>
      <c r="P18" s="264"/>
      <c r="Q18" s="121" t="s">
        <v>38</v>
      </c>
      <c r="R18" s="55"/>
      <c r="S18" s="55"/>
      <c r="T18" s="55"/>
      <c r="U18" s="55"/>
      <c r="V18" s="55"/>
      <c r="W18" s="55"/>
      <c r="Z18" t="s">
        <v>70</v>
      </c>
      <c r="AE18" s="17"/>
    </row>
    <row r="19" spans="2:32" ht="72">
      <c r="B19" s="86" t="s">
        <v>71</v>
      </c>
      <c r="C19" s="100" t="s">
        <v>63</v>
      </c>
      <c r="D19" s="101" t="s">
        <v>72</v>
      </c>
      <c r="E19" s="201" t="s">
        <v>36</v>
      </c>
      <c r="F19" s="183"/>
      <c r="G19" s="313" t="s">
        <v>37</v>
      </c>
      <c r="H19" s="314" t="s">
        <v>38</v>
      </c>
      <c r="I19" s="183"/>
      <c r="J19" s="207">
        <v>608732.69999999995</v>
      </c>
      <c r="K19" s="11">
        <v>645337.48</v>
      </c>
      <c r="L19" s="11">
        <v>542930.6</v>
      </c>
      <c r="M19" s="111">
        <v>102406.88</v>
      </c>
      <c r="N19" s="10">
        <f t="shared" si="0"/>
        <v>1.0601327643479643</v>
      </c>
      <c r="O19" s="9">
        <f t="shared" si="1"/>
        <v>-36604.780000000028</v>
      </c>
      <c r="P19" s="264" t="s">
        <v>73</v>
      </c>
      <c r="Q19" s="121" t="s">
        <v>55</v>
      </c>
      <c r="R19" s="77"/>
      <c r="S19" s="77"/>
      <c r="T19" s="77"/>
      <c r="U19" s="77"/>
      <c r="V19" s="77"/>
      <c r="W19" s="77"/>
      <c r="AE19" s="19"/>
      <c r="AF19" s="24"/>
    </row>
    <row r="20" spans="2:32" ht="62.25">
      <c r="B20" s="86" t="s">
        <v>74</v>
      </c>
      <c r="C20" s="100" t="s">
        <v>63</v>
      </c>
      <c r="D20" s="101" t="s">
        <v>72</v>
      </c>
      <c r="E20" s="201" t="s">
        <v>36</v>
      </c>
      <c r="F20" s="183"/>
      <c r="G20" s="313" t="s">
        <v>37</v>
      </c>
      <c r="H20" s="314" t="s">
        <v>38</v>
      </c>
      <c r="I20" s="183"/>
      <c r="J20" s="207">
        <v>7849873.54</v>
      </c>
      <c r="K20" s="11">
        <v>5116010.83</v>
      </c>
      <c r="L20" s="11">
        <v>4780664.53</v>
      </c>
      <c r="M20" s="111">
        <f>9834.62+325511.68</f>
        <v>335346.3</v>
      </c>
      <c r="N20" s="10">
        <f t="shared" si="0"/>
        <v>0.65173162394664519</v>
      </c>
      <c r="O20" s="9">
        <f t="shared" si="1"/>
        <v>2733862.71</v>
      </c>
      <c r="P20" s="272" t="s">
        <v>75</v>
      </c>
      <c r="Q20" s="121" t="s">
        <v>55</v>
      </c>
      <c r="R20" s="77"/>
      <c r="S20" s="77"/>
      <c r="T20" s="77"/>
      <c r="U20" s="77"/>
      <c r="V20" s="77"/>
      <c r="W20" s="77"/>
      <c r="X20" s="65"/>
      <c r="AE20" s="19"/>
      <c r="AF20" s="24"/>
    </row>
    <row r="21" spans="2:32" ht="72" customHeight="1">
      <c r="B21" s="86" t="s">
        <v>76</v>
      </c>
      <c r="C21" s="100" t="s">
        <v>34</v>
      </c>
      <c r="D21" s="101" t="s">
        <v>72</v>
      </c>
      <c r="E21" s="201" t="s">
        <v>77</v>
      </c>
      <c r="F21" s="183"/>
      <c r="G21" s="313" t="s">
        <v>37</v>
      </c>
      <c r="H21" s="314" t="s">
        <v>38</v>
      </c>
      <c r="I21" s="183"/>
      <c r="J21" s="207">
        <v>568634</v>
      </c>
      <c r="K21" s="11">
        <v>596906.11</v>
      </c>
      <c r="L21" s="11">
        <v>526787.6</v>
      </c>
      <c r="M21" s="111">
        <v>70118.509999999995</v>
      </c>
      <c r="N21" s="10">
        <f t="shared" si="0"/>
        <v>1.0497193449565099</v>
      </c>
      <c r="O21" s="9">
        <f t="shared" si="1"/>
        <v>-28272.109999999986</v>
      </c>
      <c r="P21" s="350" t="s">
        <v>78</v>
      </c>
      <c r="Q21" s="121" t="s">
        <v>55</v>
      </c>
      <c r="R21" s="80"/>
      <c r="S21" s="80"/>
      <c r="T21" s="80"/>
      <c r="U21" s="80"/>
      <c r="V21" s="80"/>
      <c r="W21" s="80"/>
      <c r="AE21" s="19"/>
      <c r="AF21" s="24"/>
    </row>
    <row r="22" spans="2:32" ht="72" customHeight="1">
      <c r="B22" s="86" t="s">
        <v>79</v>
      </c>
      <c r="C22" s="54" t="s">
        <v>80</v>
      </c>
      <c r="D22" s="96" t="s">
        <v>72</v>
      </c>
      <c r="E22" s="199" t="s">
        <v>36</v>
      </c>
      <c r="F22" s="183"/>
      <c r="G22" s="313" t="s">
        <v>37</v>
      </c>
      <c r="H22" s="314" t="s">
        <v>38</v>
      </c>
      <c r="I22" s="183"/>
      <c r="J22" s="206">
        <v>2113635.6800000002</v>
      </c>
      <c r="K22" s="9">
        <v>2132834.6800000002</v>
      </c>
      <c r="L22" s="9">
        <v>2113634.6800000002</v>
      </c>
      <c r="M22" s="111">
        <v>19200</v>
      </c>
      <c r="N22" s="10">
        <f t="shared" si="0"/>
        <v>1.0090834007874054</v>
      </c>
      <c r="O22" s="9">
        <f t="shared" si="1"/>
        <v>-19199</v>
      </c>
      <c r="P22" s="265" t="s">
        <v>81</v>
      </c>
      <c r="Q22" s="53" t="s">
        <v>55</v>
      </c>
      <c r="R22" s="77"/>
      <c r="S22" s="77"/>
      <c r="T22" s="77"/>
      <c r="U22" s="77"/>
      <c r="V22" s="77"/>
      <c r="W22" s="77"/>
      <c r="AE22" s="17"/>
    </row>
    <row r="23" spans="2:32" ht="72" customHeight="1">
      <c r="B23" s="86" t="s">
        <v>82</v>
      </c>
      <c r="C23" s="54" t="s">
        <v>34</v>
      </c>
      <c r="D23" s="96" t="s">
        <v>72</v>
      </c>
      <c r="E23" s="199" t="s">
        <v>36</v>
      </c>
      <c r="F23" s="183"/>
      <c r="G23" s="313" t="s">
        <v>37</v>
      </c>
      <c r="H23" s="314" t="s">
        <v>38</v>
      </c>
      <c r="I23" s="183"/>
      <c r="J23" s="206">
        <v>181000</v>
      </c>
      <c r="K23" s="9">
        <v>36200</v>
      </c>
      <c r="L23" s="9">
        <v>36200</v>
      </c>
      <c r="M23" s="111">
        <v>0</v>
      </c>
      <c r="N23" s="10">
        <f t="shared" si="0"/>
        <v>0.2</v>
      </c>
      <c r="O23" s="9">
        <f t="shared" si="1"/>
        <v>144800</v>
      </c>
      <c r="P23" s="265"/>
      <c r="Q23" s="53" t="s">
        <v>55</v>
      </c>
      <c r="R23" s="77"/>
      <c r="S23" s="77"/>
      <c r="T23" s="77"/>
      <c r="U23" s="77"/>
      <c r="V23" s="77"/>
      <c r="W23" s="77"/>
      <c r="AE23" s="17"/>
    </row>
    <row r="24" spans="2:32" ht="72" customHeight="1">
      <c r="B24" s="85" t="s">
        <v>83</v>
      </c>
      <c r="C24" s="54" t="s">
        <v>34</v>
      </c>
      <c r="D24" s="96" t="s">
        <v>72</v>
      </c>
      <c r="E24" s="200" t="s">
        <v>36</v>
      </c>
      <c r="F24" s="183"/>
      <c r="G24" s="313" t="s">
        <v>37</v>
      </c>
      <c r="H24" s="314" t="s">
        <v>38</v>
      </c>
      <c r="I24" s="183"/>
      <c r="J24" s="206">
        <v>457084</v>
      </c>
      <c r="K24" s="9">
        <v>22854.2</v>
      </c>
      <c r="L24" s="9">
        <v>22854.2</v>
      </c>
      <c r="M24" s="111">
        <v>0</v>
      </c>
      <c r="N24" s="112">
        <f t="shared" si="0"/>
        <v>0.05</v>
      </c>
      <c r="O24" s="234">
        <f t="shared" si="1"/>
        <v>434229.8</v>
      </c>
      <c r="P24" s="265"/>
      <c r="Q24" s="53" t="s">
        <v>55</v>
      </c>
      <c r="R24" s="77"/>
      <c r="S24" s="77"/>
      <c r="T24" s="77"/>
      <c r="U24" s="77"/>
      <c r="V24" s="77"/>
      <c r="W24" s="77"/>
      <c r="AD24" s="55"/>
      <c r="AE24" s="16"/>
    </row>
    <row r="25" spans="2:32" ht="72" hidden="1" customHeight="1">
      <c r="B25" s="85" t="s">
        <v>84</v>
      </c>
      <c r="C25" s="54" t="s">
        <v>52</v>
      </c>
      <c r="D25" s="96" t="s">
        <v>35</v>
      </c>
      <c r="E25" s="200" t="s">
        <v>85</v>
      </c>
      <c r="F25" s="183"/>
      <c r="G25" s="203" t="s">
        <v>17</v>
      </c>
      <c r="H25" s="102" t="s">
        <v>38</v>
      </c>
      <c r="I25" s="183"/>
      <c r="J25" s="206">
        <v>109450</v>
      </c>
      <c r="K25" s="9">
        <v>109450</v>
      </c>
      <c r="L25" s="9"/>
      <c r="M25" s="111"/>
      <c r="N25" s="10">
        <f t="shared" si="0"/>
        <v>1</v>
      </c>
      <c r="O25" s="9">
        <f t="shared" si="1"/>
        <v>0</v>
      </c>
      <c r="P25" s="120"/>
      <c r="Q25" s="53" t="s">
        <v>55</v>
      </c>
      <c r="R25" s="61"/>
      <c r="S25" s="61"/>
      <c r="T25" s="61"/>
      <c r="U25" s="61"/>
      <c r="V25" s="61"/>
      <c r="W25" s="61"/>
      <c r="AE25" s="57"/>
      <c r="AF25" s="55"/>
    </row>
    <row r="26" spans="2:32" ht="72" customHeight="1">
      <c r="B26" s="87" t="s">
        <v>86</v>
      </c>
      <c r="C26" s="54" t="s">
        <v>45</v>
      </c>
      <c r="D26" s="96" t="s">
        <v>36</v>
      </c>
      <c r="E26" s="200" t="s">
        <v>42</v>
      </c>
      <c r="F26" s="183"/>
      <c r="G26" s="313" t="s">
        <v>37</v>
      </c>
      <c r="H26" s="314" t="s">
        <v>38</v>
      </c>
      <c r="I26" s="183"/>
      <c r="J26" s="206">
        <v>2362972.5</v>
      </c>
      <c r="K26" s="9">
        <v>1672943.6</v>
      </c>
      <c r="L26" s="9">
        <v>1641437.3</v>
      </c>
      <c r="M26" s="111">
        <v>31506.3</v>
      </c>
      <c r="N26" s="10">
        <f t="shared" si="0"/>
        <v>0.70798267859655584</v>
      </c>
      <c r="O26" s="9">
        <f t="shared" si="1"/>
        <v>690028.89999999991</v>
      </c>
      <c r="P26" s="270" t="s">
        <v>87</v>
      </c>
      <c r="Q26" s="53" t="s">
        <v>64</v>
      </c>
      <c r="R26" s="79"/>
      <c r="S26" s="79"/>
      <c r="T26" s="79"/>
      <c r="U26" s="79"/>
      <c r="V26" s="79"/>
      <c r="W26" s="79"/>
      <c r="AE26" s="258" t="s">
        <v>86</v>
      </c>
    </row>
    <row r="27" spans="2:32" ht="72" hidden="1" customHeight="1">
      <c r="B27" s="86" t="s">
        <v>88</v>
      </c>
      <c r="C27" s="54" t="s">
        <v>63</v>
      </c>
      <c r="D27" s="96" t="s">
        <v>77</v>
      </c>
      <c r="E27" s="199" t="s">
        <v>89</v>
      </c>
      <c r="F27" s="183"/>
      <c r="G27" s="204" t="s">
        <v>17</v>
      </c>
      <c r="H27" s="102" t="s">
        <v>38</v>
      </c>
      <c r="I27" s="183"/>
      <c r="J27" s="206">
        <v>1590731</v>
      </c>
      <c r="K27" s="9">
        <v>1617810.92</v>
      </c>
      <c r="L27" s="9"/>
      <c r="M27" s="111">
        <v>0</v>
      </c>
      <c r="N27" s="112">
        <f t="shared" si="0"/>
        <v>1.0170235696670273</v>
      </c>
      <c r="O27" s="9">
        <f t="shared" si="1"/>
        <v>-27079.919999999925</v>
      </c>
      <c r="P27" s="233"/>
      <c r="Q27" s="53" t="s">
        <v>64</v>
      </c>
      <c r="R27" s="77"/>
      <c r="S27" s="77"/>
      <c r="T27" s="77"/>
      <c r="U27" s="77"/>
      <c r="V27" s="77"/>
      <c r="W27" s="77"/>
      <c r="Z27" t="s">
        <v>90</v>
      </c>
      <c r="AE27" s="55" t="s">
        <v>91</v>
      </c>
    </row>
    <row r="28" spans="2:32" ht="72" hidden="1" customHeight="1">
      <c r="B28" s="85" t="s">
        <v>92</v>
      </c>
      <c r="C28" s="54" t="s">
        <v>45</v>
      </c>
      <c r="D28" s="96" t="s">
        <v>72</v>
      </c>
      <c r="E28" s="200" t="s">
        <v>36</v>
      </c>
      <c r="F28" s="183"/>
      <c r="G28" s="315" t="s">
        <v>67</v>
      </c>
      <c r="H28" s="314" t="s">
        <v>38</v>
      </c>
      <c r="I28" s="183"/>
      <c r="J28" s="206">
        <v>3036913</v>
      </c>
      <c r="K28" s="9">
        <v>1408432.54</v>
      </c>
      <c r="L28" s="9">
        <v>1186650.02</v>
      </c>
      <c r="M28" s="111">
        <v>221782.52</v>
      </c>
      <c r="N28" s="112">
        <f t="shared" si="0"/>
        <v>0.46377111889606321</v>
      </c>
      <c r="O28" s="9">
        <f t="shared" si="1"/>
        <v>1628480.46</v>
      </c>
      <c r="P28" s="235" t="s">
        <v>93</v>
      </c>
      <c r="Q28" s="121" t="s">
        <v>55</v>
      </c>
      <c r="R28" s="78"/>
      <c r="S28" s="78"/>
      <c r="T28" s="78"/>
      <c r="U28" s="78"/>
      <c r="V28" s="78"/>
      <c r="W28" s="78"/>
      <c r="AE28" s="55"/>
    </row>
    <row r="29" spans="2:32" ht="72" hidden="1" customHeight="1">
      <c r="B29" s="85" t="s">
        <v>94</v>
      </c>
      <c r="C29" s="54" t="s">
        <v>34</v>
      </c>
      <c r="D29" s="96" t="s">
        <v>35</v>
      </c>
      <c r="E29" s="199" t="s">
        <v>36</v>
      </c>
      <c r="F29" s="183"/>
      <c r="G29" s="203" t="s">
        <v>17</v>
      </c>
      <c r="H29" s="102" t="s">
        <v>38</v>
      </c>
      <c r="I29" s="183"/>
      <c r="J29" s="206">
        <v>89533.47</v>
      </c>
      <c r="K29" s="9">
        <v>89533.47</v>
      </c>
      <c r="L29" s="9"/>
      <c r="M29" s="111"/>
      <c r="N29" s="10">
        <f t="shared" si="0"/>
        <v>1</v>
      </c>
      <c r="O29" s="9">
        <f t="shared" si="1"/>
        <v>0</v>
      </c>
      <c r="P29" s="114"/>
      <c r="Q29" s="53" t="s">
        <v>55</v>
      </c>
      <c r="R29" s="77"/>
      <c r="S29" s="77"/>
      <c r="T29" s="77"/>
      <c r="U29" s="77"/>
      <c r="V29" s="77"/>
      <c r="W29" s="77"/>
      <c r="Z29" t="s">
        <v>37</v>
      </c>
      <c r="AE29" s="55"/>
    </row>
    <row r="30" spans="2:32" ht="36" hidden="1" customHeight="1">
      <c r="B30" s="88" t="s">
        <v>95</v>
      </c>
      <c r="C30" s="54" t="s">
        <v>96</v>
      </c>
      <c r="D30" s="96" t="s">
        <v>42</v>
      </c>
      <c r="E30" s="199" t="s">
        <v>42</v>
      </c>
      <c r="F30" s="183"/>
      <c r="G30" s="203" t="s">
        <v>17</v>
      </c>
      <c r="H30" s="102" t="s">
        <v>38</v>
      </c>
      <c r="I30" s="183"/>
      <c r="J30" s="208">
        <v>1100000</v>
      </c>
      <c r="K30" s="9">
        <v>1100000</v>
      </c>
      <c r="L30" s="9"/>
      <c r="M30" s="111"/>
      <c r="N30" s="10">
        <f t="shared" si="0"/>
        <v>1</v>
      </c>
      <c r="O30" s="9">
        <f t="shared" si="1"/>
        <v>0</v>
      </c>
      <c r="P30" s="57"/>
      <c r="Q30" s="53" t="s">
        <v>64</v>
      </c>
      <c r="Z30" t="s">
        <v>97</v>
      </c>
      <c r="AE30" s="56" t="s">
        <v>98</v>
      </c>
    </row>
    <row r="31" spans="2:32" ht="54" hidden="1" customHeight="1">
      <c r="B31" s="85" t="s">
        <v>99</v>
      </c>
      <c r="C31" s="54" t="s">
        <v>100</v>
      </c>
      <c r="D31" s="96" t="s">
        <v>35</v>
      </c>
      <c r="E31" s="199" t="s">
        <v>42</v>
      </c>
      <c r="F31" s="183"/>
      <c r="G31" s="203" t="s">
        <v>17</v>
      </c>
      <c r="H31" s="102" t="s">
        <v>38</v>
      </c>
      <c r="I31" s="183"/>
      <c r="J31" s="208">
        <v>26880</v>
      </c>
      <c r="K31" s="9">
        <v>26880</v>
      </c>
      <c r="L31" s="9"/>
      <c r="M31" s="111"/>
      <c r="N31" s="10">
        <f t="shared" si="0"/>
        <v>1</v>
      </c>
      <c r="O31" s="9">
        <f t="shared" si="1"/>
        <v>0</v>
      </c>
      <c r="P31" s="57"/>
      <c r="Q31" s="53" t="s">
        <v>64</v>
      </c>
      <c r="Z31" t="s">
        <v>37</v>
      </c>
      <c r="AE31" s="58" t="s">
        <v>101</v>
      </c>
    </row>
    <row r="32" spans="2:32" ht="63" hidden="1" customHeight="1">
      <c r="B32" s="85" t="s">
        <v>102</v>
      </c>
      <c r="C32" s="54" t="s">
        <v>103</v>
      </c>
      <c r="D32" s="96" t="s">
        <v>42</v>
      </c>
      <c r="E32" s="199" t="s">
        <v>42</v>
      </c>
      <c r="F32" s="183"/>
      <c r="G32" s="203" t="s">
        <v>17</v>
      </c>
      <c r="H32" s="102" t="s">
        <v>38</v>
      </c>
      <c r="I32" s="183"/>
      <c r="J32" s="208">
        <v>74380</v>
      </c>
      <c r="K32" s="9">
        <v>74380</v>
      </c>
      <c r="L32" s="9"/>
      <c r="M32" s="111"/>
      <c r="N32" s="10">
        <f t="shared" si="0"/>
        <v>1</v>
      </c>
      <c r="O32" s="9">
        <f t="shared" si="1"/>
        <v>0</v>
      </c>
      <c r="P32" s="57"/>
      <c r="Q32" s="53" t="s">
        <v>64</v>
      </c>
      <c r="Z32" t="s">
        <v>104</v>
      </c>
      <c r="AE32" s="58" t="s">
        <v>105</v>
      </c>
      <c r="AF32" s="57"/>
    </row>
    <row r="33" spans="2:32" ht="63" hidden="1" customHeight="1">
      <c r="B33" s="86" t="s">
        <v>106</v>
      </c>
      <c r="C33" s="54" t="s">
        <v>34</v>
      </c>
      <c r="D33" s="96" t="s">
        <v>36</v>
      </c>
      <c r="E33" s="199" t="s">
        <v>36</v>
      </c>
      <c r="F33" s="183"/>
      <c r="G33" s="203" t="s">
        <v>17</v>
      </c>
      <c r="H33" s="102" t="s">
        <v>38</v>
      </c>
      <c r="I33" s="183"/>
      <c r="J33" s="206">
        <v>206716.13</v>
      </c>
      <c r="K33" s="9">
        <v>206716.13</v>
      </c>
      <c r="L33" s="9"/>
      <c r="M33" s="111"/>
      <c r="N33" s="10">
        <f t="shared" si="0"/>
        <v>1</v>
      </c>
      <c r="O33" s="9">
        <f t="shared" si="1"/>
        <v>0</v>
      </c>
      <c r="P33" s="57"/>
      <c r="Q33" s="53"/>
      <c r="AE33" s="59" t="s">
        <v>107</v>
      </c>
    </row>
    <row r="34" spans="2:32" ht="72" hidden="1" customHeight="1">
      <c r="B34" s="86" t="s">
        <v>108</v>
      </c>
      <c r="C34" s="100" t="s">
        <v>34</v>
      </c>
      <c r="D34" s="101" t="s">
        <v>35</v>
      </c>
      <c r="E34" s="201" t="s">
        <v>36</v>
      </c>
      <c r="F34" s="183"/>
      <c r="G34" s="203" t="s">
        <v>17</v>
      </c>
      <c r="H34" s="102" t="s">
        <v>38</v>
      </c>
      <c r="I34" s="183"/>
      <c r="J34" s="207">
        <v>315441.96999999997</v>
      </c>
      <c r="K34" s="11">
        <v>315441.96999999997</v>
      </c>
      <c r="L34" s="11"/>
      <c r="M34" s="111"/>
      <c r="N34" s="10">
        <f t="shared" si="0"/>
        <v>1</v>
      </c>
      <c r="O34" s="9">
        <f t="shared" si="1"/>
        <v>0</v>
      </c>
      <c r="P34" s="120"/>
      <c r="Q34" s="53" t="s">
        <v>55</v>
      </c>
      <c r="R34" s="61"/>
      <c r="S34" s="61"/>
      <c r="T34" s="61"/>
      <c r="U34" s="61"/>
      <c r="V34" s="61"/>
      <c r="W34" s="61"/>
      <c r="AE34" s="19"/>
      <c r="AF34" s="24"/>
    </row>
    <row r="35" spans="2:32" ht="72" hidden="1" customHeight="1">
      <c r="B35" s="86" t="s">
        <v>109</v>
      </c>
      <c r="C35" s="54" t="s">
        <v>34</v>
      </c>
      <c r="D35" s="96" t="s">
        <v>36</v>
      </c>
      <c r="E35" s="199" t="s">
        <v>36</v>
      </c>
      <c r="F35" s="183"/>
      <c r="G35" s="203" t="s">
        <v>17</v>
      </c>
      <c r="H35" s="102" t="s">
        <v>38</v>
      </c>
      <c r="I35" s="183"/>
      <c r="J35" s="206">
        <v>1106726</v>
      </c>
      <c r="K35" s="9">
        <v>1106726</v>
      </c>
      <c r="L35" s="9"/>
      <c r="M35" s="111"/>
      <c r="N35" s="10">
        <f t="shared" si="0"/>
        <v>1</v>
      </c>
      <c r="O35" s="9">
        <f t="shared" si="1"/>
        <v>0</v>
      </c>
      <c r="P35" s="57"/>
      <c r="Q35" s="53"/>
      <c r="AE35" s="17" t="s">
        <v>110</v>
      </c>
    </row>
    <row r="36" spans="2:32" ht="46.5" hidden="1" customHeight="1">
      <c r="B36" s="86" t="s">
        <v>111</v>
      </c>
      <c r="C36" s="54" t="s">
        <v>34</v>
      </c>
      <c r="D36" s="96" t="s">
        <v>85</v>
      </c>
      <c r="E36" s="199" t="s">
        <v>42</v>
      </c>
      <c r="F36" s="183"/>
      <c r="G36" s="203" t="s">
        <v>17</v>
      </c>
      <c r="H36" s="102" t="s">
        <v>38</v>
      </c>
      <c r="I36" s="183"/>
      <c r="J36" s="206">
        <v>170825</v>
      </c>
      <c r="K36" s="9">
        <v>170825</v>
      </c>
      <c r="L36" s="9"/>
      <c r="M36" s="111"/>
      <c r="N36" s="10">
        <f t="shared" si="0"/>
        <v>1</v>
      </c>
      <c r="O36" s="9">
        <f t="shared" si="1"/>
        <v>0</v>
      </c>
      <c r="P36" s="57"/>
      <c r="Q36" s="53"/>
      <c r="AE36" s="17"/>
    </row>
    <row r="37" spans="2:32" ht="72" hidden="1" customHeight="1">
      <c r="B37" s="86" t="s">
        <v>112</v>
      </c>
      <c r="C37" s="54" t="s">
        <v>113</v>
      </c>
      <c r="D37" s="96" t="s">
        <v>85</v>
      </c>
      <c r="E37" s="199" t="s">
        <v>85</v>
      </c>
      <c r="F37" s="183"/>
      <c r="G37" s="203" t="s">
        <v>17</v>
      </c>
      <c r="H37" s="102" t="s">
        <v>38</v>
      </c>
      <c r="I37" s="183"/>
      <c r="J37" s="206">
        <v>97150</v>
      </c>
      <c r="K37" s="9">
        <v>97150</v>
      </c>
      <c r="L37" s="9"/>
      <c r="M37" s="111"/>
      <c r="N37" s="10">
        <f t="shared" si="0"/>
        <v>1</v>
      </c>
      <c r="O37" s="9">
        <f t="shared" si="1"/>
        <v>0</v>
      </c>
      <c r="P37" s="57"/>
      <c r="Q37" s="53"/>
      <c r="AE37" s="19" t="s">
        <v>114</v>
      </c>
    </row>
    <row r="38" spans="2:32" ht="74.25" hidden="1">
      <c r="B38" s="88" t="s">
        <v>115</v>
      </c>
      <c r="C38" s="54" t="s">
        <v>116</v>
      </c>
      <c r="D38" s="96" t="s">
        <v>77</v>
      </c>
      <c r="E38" s="199" t="s">
        <v>77</v>
      </c>
      <c r="F38" s="197"/>
      <c r="G38" s="348" t="s">
        <v>17</v>
      </c>
      <c r="H38" s="349" t="s">
        <v>38</v>
      </c>
      <c r="I38" s="183"/>
      <c r="J38" s="259">
        <v>144030</v>
      </c>
      <c r="K38" s="255">
        <v>144030</v>
      </c>
      <c r="L38" s="255"/>
      <c r="M38" s="260"/>
      <c r="N38" s="256">
        <f t="shared" si="0"/>
        <v>1</v>
      </c>
      <c r="O38" s="255">
        <f t="shared" si="1"/>
        <v>0</v>
      </c>
      <c r="P38" s="57"/>
      <c r="Q38" s="53"/>
      <c r="AE38" s="15" t="s">
        <v>117</v>
      </c>
    </row>
    <row r="39" spans="2:32" s="316" customFormat="1" ht="30" customHeight="1">
      <c r="G39" s="345"/>
      <c r="H39" s="346" t="s">
        <v>118</v>
      </c>
      <c r="I39" s="347"/>
      <c r="J39" s="317">
        <f>SUM(J8:J38)</f>
        <v>28787227.779999997</v>
      </c>
      <c r="K39" s="317">
        <f>SUM(K8:K38)</f>
        <v>21885452.959999993</v>
      </c>
      <c r="L39" s="317">
        <f>SUM(L8:L38)</f>
        <v>13580239.979999999</v>
      </c>
      <c r="M39" s="337">
        <f>SUM(M22,M26,M8,M11,M14,M15:M21)</f>
        <v>1057896.93</v>
      </c>
      <c r="N39" s="317"/>
      <c r="O39" s="317">
        <f>SUM(O8:O38)</f>
        <v>6901774.8200000012</v>
      </c>
      <c r="AD39"/>
      <c r="AE39"/>
    </row>
    <row r="40" spans="2:32">
      <c r="J40" s="22"/>
      <c r="K40" s="22"/>
      <c r="L40" s="22"/>
      <c r="M40" s="22"/>
      <c r="O40" s="22"/>
    </row>
    <row r="41" spans="2:32">
      <c r="J41" s="22"/>
      <c r="K41" s="22"/>
      <c r="L41" s="22"/>
      <c r="M41" s="22"/>
      <c r="O41" s="22"/>
    </row>
    <row r="42" spans="2:32">
      <c r="J42" s="22"/>
      <c r="K42" s="22"/>
      <c r="L42" s="22"/>
      <c r="M42" s="22"/>
      <c r="O42" s="22"/>
    </row>
    <row r="43" spans="2:32">
      <c r="J43" s="22"/>
      <c r="K43" s="22"/>
      <c r="L43" s="22"/>
      <c r="M43" s="22"/>
      <c r="O43" s="22"/>
    </row>
    <row r="44" spans="2:32">
      <c r="J44" s="22"/>
      <c r="K44" s="22"/>
      <c r="L44" s="22"/>
      <c r="M44" s="22"/>
      <c r="O44" s="22"/>
    </row>
    <row r="45" spans="2:32">
      <c r="J45" s="22"/>
      <c r="K45" s="22"/>
      <c r="L45" s="22"/>
      <c r="M45" s="22"/>
      <c r="O45" s="22"/>
    </row>
    <row r="46" spans="2:32">
      <c r="J46" s="22"/>
      <c r="K46" s="22"/>
      <c r="L46" s="22"/>
      <c r="M46" s="22"/>
      <c r="O46" s="22"/>
    </row>
    <row r="47" spans="2:32">
      <c r="J47" s="22"/>
      <c r="K47" s="22"/>
      <c r="L47" s="22"/>
      <c r="M47" s="22"/>
      <c r="O47" s="22"/>
    </row>
    <row r="48" spans="2:32">
      <c r="J48" s="22"/>
      <c r="K48" s="22"/>
      <c r="L48" s="22"/>
      <c r="M48" s="22"/>
      <c r="O48" s="22"/>
    </row>
    <row r="49" spans="10:15">
      <c r="J49" s="22"/>
      <c r="K49" s="22"/>
      <c r="L49" s="22"/>
      <c r="M49" s="22"/>
      <c r="O49" s="22"/>
    </row>
    <row r="50" spans="10:15">
      <c r="J50" s="22"/>
      <c r="K50" s="22"/>
      <c r="L50" s="22"/>
      <c r="M50" s="22"/>
      <c r="O50" s="22"/>
    </row>
    <row r="51" spans="10:15">
      <c r="J51" s="22"/>
      <c r="K51" s="22"/>
      <c r="L51" s="22"/>
      <c r="M51" s="22"/>
      <c r="O51" s="22"/>
    </row>
    <row r="52" spans="10:15">
      <c r="J52" s="22"/>
      <c r="K52" s="22"/>
      <c r="L52" s="22"/>
      <c r="M52" s="22"/>
      <c r="O52" s="22"/>
    </row>
    <row r="53" spans="10:15">
      <c r="J53" s="22"/>
      <c r="K53" s="22"/>
      <c r="L53" s="22"/>
      <c r="M53" s="22"/>
      <c r="O53" s="22"/>
    </row>
    <row r="54" spans="10:15">
      <c r="J54" s="22"/>
      <c r="K54" s="22"/>
      <c r="L54" s="22"/>
      <c r="M54" s="22"/>
      <c r="O54" s="22"/>
    </row>
    <row r="55" spans="10:15">
      <c r="J55" s="22"/>
      <c r="K55" s="22"/>
      <c r="L55" s="22"/>
      <c r="M55" s="22"/>
      <c r="O55" s="22"/>
    </row>
    <row r="56" spans="10:15">
      <c r="J56" s="22"/>
      <c r="K56" s="22"/>
      <c r="L56" s="22"/>
      <c r="M56" s="22"/>
      <c r="O56" s="22"/>
    </row>
    <row r="57" spans="10:15">
      <c r="J57" s="22"/>
      <c r="K57" s="22"/>
      <c r="L57" s="22"/>
      <c r="M57" s="22"/>
      <c r="O57" s="22"/>
    </row>
    <row r="58" spans="10:15" ht="15.75">
      <c r="J58" s="341"/>
      <c r="K58" s="22"/>
      <c r="L58" s="22"/>
      <c r="M58" s="22"/>
      <c r="O58" s="22"/>
    </row>
    <row r="59" spans="10:15" ht="15.75">
      <c r="J59" s="341"/>
      <c r="K59" s="22"/>
      <c r="L59" s="22"/>
      <c r="M59" s="22"/>
      <c r="O59" s="22"/>
    </row>
    <row r="60" spans="10:15" ht="15.75">
      <c r="J60" s="341"/>
      <c r="K60" s="22"/>
      <c r="L60" s="22"/>
      <c r="M60" s="22"/>
      <c r="O60" s="22"/>
    </row>
    <row r="61" spans="10:15" ht="15.75">
      <c r="J61" s="341"/>
      <c r="K61" s="22"/>
      <c r="L61" s="22"/>
      <c r="M61" s="22"/>
      <c r="O61" s="22"/>
    </row>
    <row r="62" spans="10:15" ht="15.75">
      <c r="J62" s="341"/>
      <c r="K62" s="22"/>
      <c r="L62" s="22"/>
      <c r="M62" s="22"/>
      <c r="O62" s="22"/>
    </row>
    <row r="63" spans="10:15" ht="15.75">
      <c r="J63" s="341"/>
      <c r="K63" s="22"/>
      <c r="L63" s="22"/>
      <c r="M63" s="22"/>
      <c r="O63" s="22"/>
    </row>
    <row r="64" spans="10:15" ht="15.75">
      <c r="J64" s="341"/>
      <c r="K64" s="22"/>
      <c r="L64" s="22"/>
      <c r="M64" s="22"/>
      <c r="O64" s="22"/>
    </row>
    <row r="65" spans="2:15" ht="15.75">
      <c r="J65" s="341"/>
      <c r="K65" s="22"/>
      <c r="L65" s="22"/>
      <c r="M65" s="22"/>
      <c r="O65" s="22"/>
    </row>
    <row r="66" spans="2:15" ht="15.75">
      <c r="J66" s="341"/>
      <c r="K66" s="22"/>
      <c r="L66" s="22"/>
      <c r="M66" s="22"/>
      <c r="O66" s="22"/>
    </row>
    <row r="67" spans="2:15" ht="15.75">
      <c r="J67" s="341"/>
      <c r="K67" s="22"/>
      <c r="L67" s="22"/>
      <c r="M67" s="22"/>
      <c r="O67" s="22"/>
    </row>
    <row r="68" spans="2:15" ht="15.75">
      <c r="J68" s="341"/>
      <c r="K68" s="22"/>
      <c r="L68" s="22"/>
      <c r="M68" s="22"/>
      <c r="O68" s="22"/>
    </row>
    <row r="69" spans="2:15" ht="15.75">
      <c r="J69" s="341"/>
      <c r="K69" s="22"/>
      <c r="L69" s="22"/>
      <c r="M69" s="22"/>
      <c r="O69" s="22"/>
    </row>
    <row r="70" spans="2:15" ht="15.75">
      <c r="J70" s="341"/>
      <c r="K70" s="22"/>
      <c r="L70" s="22"/>
      <c r="M70" s="22"/>
      <c r="O70" s="22"/>
    </row>
    <row r="71" spans="2:15" ht="15.75">
      <c r="J71" s="341"/>
      <c r="K71" s="22"/>
      <c r="L71" s="22"/>
      <c r="M71" s="22"/>
      <c r="O71" s="22"/>
    </row>
    <row r="72" spans="2:15">
      <c r="J72" s="12"/>
    </row>
    <row r="73" spans="2:15">
      <c r="M73" s="12"/>
    </row>
    <row r="74" spans="2:15">
      <c r="B74" s="23"/>
      <c r="C74" s="24"/>
    </row>
    <row r="75" spans="2:15">
      <c r="B75" s="23"/>
      <c r="C75" s="24"/>
    </row>
    <row r="76" spans="2:15">
      <c r="B76" s="23"/>
      <c r="C76" s="24"/>
    </row>
    <row r="77" spans="2:15">
      <c r="B77" s="23"/>
      <c r="C77" s="24"/>
    </row>
    <row r="78" spans="2:15" ht="28.5">
      <c r="B78" s="185" t="s">
        <v>18</v>
      </c>
      <c r="C78" s="186" t="s">
        <v>2</v>
      </c>
      <c r="D78" s="187" t="s">
        <v>3</v>
      </c>
      <c r="E78" s="187" t="s">
        <v>4</v>
      </c>
      <c r="G78" s="188" t="s">
        <v>119</v>
      </c>
      <c r="H78" s="187" t="s">
        <v>120</v>
      </c>
      <c r="J78" s="189" t="s">
        <v>121</v>
      </c>
    </row>
    <row r="79" spans="2:15">
      <c r="B79" s="23" t="s">
        <v>122</v>
      </c>
      <c r="C79">
        <f>COUNTIF($G$8:$G$38,"In Process")</f>
        <v>14</v>
      </c>
      <c r="D79" s="190">
        <f>SUMIF($G$8:$G$38,"In Process",J$8:J$38)</f>
        <v>18672208.98</v>
      </c>
      <c r="E79" s="190">
        <f>SUMIF($G$8:$G$38,"In Process",K$8:K$38)</f>
        <v>13464189.169999998</v>
      </c>
      <c r="G79" s="303">
        <f>SUMIF($G$8:$G$38,"In Process",M$8:M$38)</f>
        <v>1057896.9300000002</v>
      </c>
      <c r="H79" s="303" t="e">
        <f>SUMIF($G$8:$G$38,"In Process",#REF!)</f>
        <v>#REF!</v>
      </c>
      <c r="J79" s="190">
        <f>SUMIF($G$8:$G$38,"In Process",O$8:O$38)</f>
        <v>5208019.8100000005</v>
      </c>
    </row>
    <row r="80" spans="2:15">
      <c r="B80" s="23" t="s">
        <v>123</v>
      </c>
      <c r="C80">
        <f>COUNTIF($G$8:$G$38,"Delayed")</f>
        <v>0</v>
      </c>
      <c r="D80" s="190">
        <f>SUMIF($G$8:$G$38,"Delayed",J$8:J$38)</f>
        <v>0</v>
      </c>
      <c r="E80" s="190">
        <f>SUMIF($G$8:$G$38,"Delayed",K$8:K$38)</f>
        <v>0</v>
      </c>
      <c r="G80" s="303">
        <f>SUMIF($G$8:$G$38,"Delayed",M$8:M$38)</f>
        <v>0</v>
      </c>
      <c r="H80" s="303" t="e">
        <f>SUMIF($G$8:$G$38,"Delayed",#REF!)</f>
        <v>#REF!</v>
      </c>
      <c r="J80" s="190">
        <f>SUMIF($G$8:$G$38,"Delayed",O$8:O$38)</f>
        <v>0</v>
      </c>
    </row>
    <row r="81" spans="2:10">
      <c r="B81" s="23" t="s">
        <v>124</v>
      </c>
      <c r="C81">
        <f>COUNTIF($G$8:$G$38,"Pending")</f>
        <v>0</v>
      </c>
      <c r="D81" s="190">
        <f>SUMIF($G$8:$G$38,"Pending",J$8:J$38)</f>
        <v>0</v>
      </c>
      <c r="E81" s="190">
        <f>SUMIF($G$8:$G$38,"Pending",K$8:K$38)</f>
        <v>0</v>
      </c>
      <c r="G81" s="303">
        <f>SUMIF($G$8:$G$38,"Pending",M$8:M$38)</f>
        <v>0</v>
      </c>
      <c r="H81" s="303" t="e">
        <f>SUMIF($G$8:$G$38,"Pending",#REF!)</f>
        <v>#REF!</v>
      </c>
      <c r="J81" s="190">
        <f>SUMIF($G$8:$G$38,"Pending",O$8:O$38)</f>
        <v>0</v>
      </c>
    </row>
    <row r="82" spans="2:10">
      <c r="B82" s="23" t="s">
        <v>125</v>
      </c>
      <c r="C82">
        <f>COUNTIF($G$8:$G$38,"No Contract")</f>
        <v>0</v>
      </c>
      <c r="D82" s="190">
        <f>SUMIF($G$8:$G$38,"No Contract",J$8:J$38)</f>
        <v>0</v>
      </c>
      <c r="E82" s="190">
        <f>SUMIF($G$8:$G$38,"No Contract",K$8:K$38)</f>
        <v>0</v>
      </c>
      <c r="G82" s="303">
        <f>SUMIF($G$8:$G$38,"No Contract",M$8:M$38)</f>
        <v>0</v>
      </c>
      <c r="H82" s="303" t="e">
        <f>SUMIF($G$8:$G$38,"No Contract",#REF!)</f>
        <v>#REF!</v>
      </c>
      <c r="J82" s="190">
        <f>SUMIF($G$8:$G$38,"No Contract",O$8:O$38)</f>
        <v>0</v>
      </c>
    </row>
    <row r="83" spans="2:10">
      <c r="B83" s="23" t="s">
        <v>126</v>
      </c>
      <c r="C83" s="191">
        <f>COUNTIF($G$8:$G$38,"Litigation")</f>
        <v>1</v>
      </c>
      <c r="D83" s="192">
        <f>SUMIF($G$8:$G$38,"Litigation",J$8:J$38)</f>
        <v>3036913</v>
      </c>
      <c r="E83" s="192">
        <f>SUMIF($G$8:$G$38,"Litigation",K$8:K$38)</f>
        <v>1408432.54</v>
      </c>
      <c r="G83" s="304">
        <f>SUMIF($G$8:$G$38,"Litigation",M$8:M$38)</f>
        <v>221782.52</v>
      </c>
      <c r="H83" s="304" t="e">
        <f>SUMIF($G$8:$G$38,"Litigation",#REF!)</f>
        <v>#REF!</v>
      </c>
      <c r="J83" s="192">
        <f>SUMIF($G$8:$G$38,"Litigation",O$8:O$38)</f>
        <v>1628480.46</v>
      </c>
    </row>
    <row r="84" spans="2:10">
      <c r="B84" s="23" t="s">
        <v>127</v>
      </c>
      <c r="C84">
        <f>SUM(C79:C83)</f>
        <v>15</v>
      </c>
      <c r="D84" s="193">
        <f t="shared" ref="D84:E84" si="2">SUM(D79:D83)</f>
        <v>21709121.98</v>
      </c>
      <c r="E84" s="193">
        <f t="shared" si="2"/>
        <v>14872621.709999997</v>
      </c>
      <c r="G84" s="305">
        <f t="shared" ref="G84:J84" si="3">SUM(G79:G83)</f>
        <v>1279679.4500000002</v>
      </c>
      <c r="H84" s="305" t="e">
        <f t="shared" si="3"/>
        <v>#REF!</v>
      </c>
      <c r="J84" s="193">
        <f t="shared" si="3"/>
        <v>6836500.2700000005</v>
      </c>
    </row>
    <row r="85" spans="2:10">
      <c r="G85" s="306"/>
    </row>
    <row r="86" spans="2:10">
      <c r="B86" s="23" t="s">
        <v>128</v>
      </c>
      <c r="C86" s="194">
        <f>COUNTIF(G8:G38,"Completed")</f>
        <v>16</v>
      </c>
      <c r="D86" s="195">
        <f>SUMIF($G$8:$G$38,"Completed",J$8:J$38)</f>
        <v>7078105.7999999998</v>
      </c>
      <c r="E86" s="195">
        <f>SUMIF($G$8:$G$38,"Completed",K$8:K$38)</f>
        <v>7012831.25</v>
      </c>
      <c r="G86" s="307">
        <f>SUMIF($G$8:$G$38,"Completed",M$8:M$38)</f>
        <v>0</v>
      </c>
      <c r="H86" s="307" t="e">
        <f>SUMIF($G$8:$G$38,"Completed",#REF!)</f>
        <v>#REF!</v>
      </c>
      <c r="J86" s="195">
        <f>SUMIF($G$8:$G$38,"Completed",O$8:O$38)</f>
        <v>65274.550000000047</v>
      </c>
    </row>
    <row r="87" spans="2:10">
      <c r="B87" s="23" t="s">
        <v>129</v>
      </c>
      <c r="C87">
        <f>C84+C86</f>
        <v>31</v>
      </c>
      <c r="D87" s="193">
        <f t="shared" ref="D87:E87" si="4">D84+D86</f>
        <v>28787227.780000001</v>
      </c>
      <c r="E87" s="193">
        <f t="shared" si="4"/>
        <v>21885452.959999997</v>
      </c>
      <c r="G87" s="305">
        <f t="shared" ref="G87" si="5">G84+G86</f>
        <v>1279679.4500000002</v>
      </c>
      <c r="H87" s="305" t="e">
        <f t="shared" ref="H87:J87" si="6">H84+H86</f>
        <v>#REF!</v>
      </c>
      <c r="J87" s="193">
        <f t="shared" si="6"/>
        <v>6901774.8200000003</v>
      </c>
    </row>
    <row r="88" spans="2:10">
      <c r="G88" s="308"/>
    </row>
    <row r="89" spans="2:10">
      <c r="G89" s="306"/>
    </row>
    <row r="90" spans="2:10">
      <c r="G90" s="306"/>
      <c r="H90" s="309"/>
    </row>
    <row r="91" spans="2:10">
      <c r="G91" s="306"/>
      <c r="H91" s="309"/>
    </row>
    <row r="92" spans="2:10">
      <c r="G92" s="306"/>
      <c r="H92" s="309"/>
    </row>
    <row r="93" spans="2:10">
      <c r="G93" s="306"/>
    </row>
  </sheetData>
  <autoFilter ref="A7:AH39" xr:uid="{078B6ACD-F52F-43CD-874E-B09F096439F0}">
    <filterColumn colId="6">
      <filters>
        <filter val="In Process"/>
      </filters>
    </filterColumn>
    <sortState xmlns:xlrd2="http://schemas.microsoft.com/office/spreadsheetml/2017/richdata2" ref="A8:AH38">
      <sortCondition ref="D7:D38"/>
    </sortState>
  </autoFilter>
  <mergeCells count="6">
    <mergeCell ref="Q5:Q6"/>
    <mergeCell ref="P5:P6"/>
    <mergeCell ref="C2:D2"/>
    <mergeCell ref="B3:O3"/>
    <mergeCell ref="B6:O6"/>
    <mergeCell ref="N5:O5"/>
  </mergeCells>
  <conditionalFormatting sqref="G8:G38 G3 B78">
    <cfRule type="cellIs" dxfId="19" priority="7" operator="equal">
      <formula>"Completed"</formula>
    </cfRule>
    <cfRule type="cellIs" dxfId="18" priority="8" operator="equal">
      <formula>"In Process"</formula>
    </cfRule>
  </conditionalFormatting>
  <conditionalFormatting sqref="G32:G3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4:G38 B78 G8:G31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88">
    <cfRule type="cellIs" dxfId="17" priority="4" operator="equal">
      <formula>"Completed"</formula>
    </cfRule>
    <cfRule type="cellIs" dxfId="16" priority="5" operator="equal">
      <formula>"In Process"</formula>
    </cfRule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2">
    <dataValidation type="list" allowBlank="1" showInputMessage="1" showErrorMessage="1" sqref="G34:G38 G3 G8:G31" xr:uid="{0351A774-4B8B-4D03-9686-5A36A67398B3}">
      <formula1>$Z$12:$Z$20</formula1>
    </dataValidation>
    <dataValidation type="list" allowBlank="1" showInputMessage="1" showErrorMessage="1" sqref="G32:G33" xr:uid="{9DB13468-BA73-468A-B76A-EF3BDA6E85A0}">
      <formula1>$AA$18:$AA$25</formula1>
    </dataValidation>
  </dataValidations>
  <pageMargins left="0.25" right="0.25" top="0.75" bottom="0.75" header="0.3" footer="0.3"/>
  <pageSetup paperSize="3" scale="6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E58F4-CA75-4B8A-A382-A49EE0249838}">
  <sheetPr filterMode="1">
    <tabColor rgb="FF92D050"/>
    <pageSetUpPr fitToPage="1"/>
  </sheetPr>
  <dimension ref="A1:AF129"/>
  <sheetViews>
    <sheetView topLeftCell="A37" zoomScaleNormal="100" workbookViewId="0">
      <selection activeCell="G10" sqref="G10"/>
    </sheetView>
  </sheetViews>
  <sheetFormatPr defaultRowHeight="15"/>
  <cols>
    <col min="1" max="1" width="3.28515625" customWidth="1"/>
    <col min="2" max="2" width="32" customWidth="1"/>
    <col min="3" max="3" width="19" customWidth="1"/>
    <col min="4" max="4" width="14.5703125" customWidth="1"/>
    <col min="5" max="5" width="15.140625" hidden="1" customWidth="1"/>
    <col min="6" max="6" width="2.85546875" customWidth="1"/>
    <col min="7" max="7" width="20.42578125" customWidth="1"/>
    <col min="8" max="8" width="16.5703125" customWidth="1"/>
    <col min="9" max="9" width="2.140625" customWidth="1"/>
    <col min="10" max="10" width="17" customWidth="1"/>
    <col min="11" max="11" width="17.85546875" customWidth="1"/>
    <col min="12" max="12" width="19.28515625" customWidth="1"/>
    <col min="13" max="13" width="15.85546875" customWidth="1"/>
    <col min="14" max="14" width="18" customWidth="1"/>
    <col min="15" max="15" width="16.7109375" customWidth="1"/>
    <col min="16" max="16" width="104.85546875" customWidth="1"/>
    <col min="17" max="17" width="14" hidden="1" customWidth="1"/>
    <col min="18" max="23" width="104.85546875" customWidth="1"/>
    <col min="24" max="24" width="24.85546875" customWidth="1"/>
    <col min="26" max="26" width="14.140625" customWidth="1"/>
    <col min="30" max="30" width="0" hidden="1" customWidth="1"/>
    <col min="31" max="31" width="69.140625" hidden="1" customWidth="1"/>
    <col min="32" max="32" width="12.5703125" bestFit="1" customWidth="1"/>
  </cols>
  <sheetData>
    <row r="1" spans="1:31" s="279" customFormat="1" ht="46.5">
      <c r="A1" s="290" t="s">
        <v>130</v>
      </c>
      <c r="B1" s="278"/>
      <c r="C1" s="281"/>
      <c r="D1" s="281"/>
      <c r="E1" s="281"/>
      <c r="F1" s="281"/>
      <c r="G1" s="281"/>
      <c r="H1" s="281"/>
      <c r="I1" s="281"/>
      <c r="J1" s="281"/>
      <c r="K1" s="281" t="s">
        <v>20</v>
      </c>
      <c r="L1" s="281"/>
      <c r="M1" s="281"/>
      <c r="N1" s="281"/>
      <c r="O1" s="291"/>
      <c r="P1" s="280"/>
      <c r="Q1" s="5"/>
      <c r="R1" s="280"/>
      <c r="S1" s="280"/>
      <c r="T1" s="280"/>
      <c r="U1" s="280"/>
      <c r="V1" s="280"/>
      <c r="W1" s="280"/>
      <c r="X1" s="280"/>
      <c r="Y1" s="280"/>
      <c r="Z1" s="280"/>
      <c r="AA1" s="280"/>
      <c r="AB1" s="280"/>
      <c r="AD1"/>
      <c r="AE1"/>
    </row>
    <row r="2" spans="1:31" ht="33" customHeight="1">
      <c r="A2" s="6"/>
      <c r="B2" s="7" t="s">
        <v>1</v>
      </c>
      <c r="C2" s="365">
        <f ca="1">TODAY()</f>
        <v>46058</v>
      </c>
      <c r="D2" s="365"/>
      <c r="F2" s="94"/>
      <c r="G2" s="94"/>
      <c r="H2" s="95"/>
      <c r="I2" s="95"/>
      <c r="K2" s="84"/>
      <c r="L2" s="4"/>
      <c r="M2" s="4"/>
      <c r="N2" s="4"/>
      <c r="O2" s="4"/>
      <c r="P2" s="209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spans="1:31" s="283" customFormat="1" ht="38.25" customHeight="1">
      <c r="A3" s="282"/>
      <c r="B3" s="367" t="s">
        <v>131</v>
      </c>
      <c r="C3" s="367"/>
      <c r="D3" s="367"/>
      <c r="E3" s="367"/>
      <c r="F3" s="367"/>
      <c r="G3" s="367"/>
      <c r="H3" s="367"/>
      <c r="I3" s="367"/>
      <c r="J3" s="367"/>
      <c r="K3" s="367"/>
      <c r="L3" s="367"/>
      <c r="M3" s="367"/>
      <c r="N3" s="367"/>
      <c r="O3" s="367"/>
      <c r="Q3"/>
      <c r="X3" s="284"/>
      <c r="Y3" s="284"/>
      <c r="Z3" s="284"/>
      <c r="AA3" s="284"/>
      <c r="AB3" s="284"/>
      <c r="AD3"/>
      <c r="AE3"/>
    </row>
    <row r="4" spans="1:31" ht="14.25" customHeight="1">
      <c r="A4" s="6"/>
      <c r="B4" s="93"/>
      <c r="C4" s="93"/>
      <c r="D4" s="93"/>
      <c r="E4" s="93"/>
      <c r="F4" s="93"/>
      <c r="G4" s="93"/>
      <c r="H4" s="93"/>
      <c r="I4" s="93"/>
      <c r="K4" s="93"/>
      <c r="L4" s="93"/>
      <c r="M4" s="93"/>
      <c r="O4" s="93"/>
      <c r="X4" s="5"/>
      <c r="Y4" s="5"/>
      <c r="Z4" s="5"/>
      <c r="AA4" s="5"/>
      <c r="AB4" s="5"/>
    </row>
    <row r="5" spans="1:31" ht="38.25" customHeight="1">
      <c r="A5" s="6"/>
      <c r="B5" s="374" t="s">
        <v>132</v>
      </c>
      <c r="C5" s="375"/>
      <c r="D5" s="375"/>
      <c r="E5" s="376"/>
      <c r="F5" s="92"/>
      <c r="G5" s="380" t="s">
        <v>25</v>
      </c>
      <c r="H5" s="381"/>
      <c r="I5" s="92"/>
      <c r="J5" s="384" t="s">
        <v>133</v>
      </c>
      <c r="K5" s="385"/>
      <c r="L5" s="385"/>
      <c r="M5" s="385"/>
      <c r="N5" s="385"/>
      <c r="O5" s="386"/>
      <c r="P5" s="368" t="s">
        <v>134</v>
      </c>
      <c r="Q5" s="370" t="s">
        <v>32</v>
      </c>
      <c r="X5" s="5"/>
      <c r="Y5" s="5"/>
      <c r="Z5" s="5"/>
      <c r="AA5" s="5"/>
      <c r="AB5" s="5"/>
    </row>
    <row r="6" spans="1:31" ht="50.25" customHeight="1">
      <c r="A6" s="6"/>
      <c r="B6" s="377"/>
      <c r="C6" s="378"/>
      <c r="D6" s="378"/>
      <c r="E6" s="379"/>
      <c r="F6" s="92"/>
      <c r="G6" s="382"/>
      <c r="H6" s="383"/>
      <c r="I6" s="92"/>
      <c r="J6" s="169" t="s">
        <v>135</v>
      </c>
      <c r="K6" s="170">
        <f>E120-E118</f>
        <v>168293.64</v>
      </c>
      <c r="L6" s="372" t="s">
        <v>136</v>
      </c>
      <c r="M6" s="373"/>
      <c r="N6" s="171" t="s">
        <v>137</v>
      </c>
      <c r="O6" s="172">
        <f>G120-G118</f>
        <v>39773.589999999997</v>
      </c>
      <c r="P6" s="369"/>
      <c r="Q6" s="371"/>
      <c r="X6" s="5"/>
      <c r="Y6" s="5"/>
      <c r="Z6" s="5"/>
      <c r="AA6" s="5"/>
      <c r="AB6" s="5"/>
    </row>
    <row r="7" spans="1:31" ht="36.75" customHeight="1">
      <c r="A7" s="63" t="s">
        <v>20</v>
      </c>
      <c r="B7" s="83" t="s">
        <v>21</v>
      </c>
      <c r="C7" s="82" t="s">
        <v>22</v>
      </c>
      <c r="D7" s="82" t="s">
        <v>23</v>
      </c>
      <c r="E7" s="82" t="s">
        <v>24</v>
      </c>
      <c r="F7" s="183"/>
      <c r="G7" s="126" t="s">
        <v>25</v>
      </c>
      <c r="H7" s="126" t="s">
        <v>26</v>
      </c>
      <c r="I7" s="183"/>
      <c r="J7" s="81" t="s">
        <v>3</v>
      </c>
      <c r="K7" s="81" t="s">
        <v>4</v>
      </c>
      <c r="L7" s="123" t="s">
        <v>119</v>
      </c>
      <c r="M7" s="81" t="s">
        <v>120</v>
      </c>
      <c r="N7" s="81" t="s">
        <v>29</v>
      </c>
      <c r="O7" s="81" t="s">
        <v>121</v>
      </c>
      <c r="P7" s="231"/>
      <c r="Q7" s="232"/>
      <c r="R7" s="74"/>
      <c r="S7" s="74"/>
      <c r="T7" s="74"/>
      <c r="U7" s="74"/>
      <c r="V7" s="74"/>
      <c r="W7" s="74"/>
      <c r="X7" s="8"/>
      <c r="Y7" s="8"/>
      <c r="Z7" s="81" t="s">
        <v>25</v>
      </c>
      <c r="AA7" s="8"/>
      <c r="AB7" s="8"/>
    </row>
    <row r="8" spans="1:31" ht="62.25" hidden="1" customHeight="1">
      <c r="B8" s="127" t="s">
        <v>138</v>
      </c>
      <c r="C8" s="128" t="s">
        <v>63</v>
      </c>
      <c r="D8" s="357" t="s">
        <v>35</v>
      </c>
      <c r="E8" s="343" t="s">
        <v>36</v>
      </c>
      <c r="F8" s="183"/>
      <c r="G8" s="196" t="s">
        <v>17</v>
      </c>
      <c r="H8" s="125" t="s">
        <v>38</v>
      </c>
      <c r="I8" s="183"/>
      <c r="J8" s="344">
        <v>18022.400000000001</v>
      </c>
      <c r="K8" s="60">
        <v>0</v>
      </c>
      <c r="L8" s="122">
        <v>0</v>
      </c>
      <c r="M8" s="60">
        <f t="shared" ref="M8:M19" si="0">K8-L8</f>
        <v>0</v>
      </c>
      <c r="N8" s="64">
        <f t="shared" ref="N8:N19" si="1">K8/J8</f>
        <v>0</v>
      </c>
      <c r="O8" s="60">
        <f t="shared" ref="O8:O74" si="2">J8-K8</f>
        <v>18022.400000000001</v>
      </c>
      <c r="P8" s="241"/>
      <c r="Q8" s="131" t="s">
        <v>40</v>
      </c>
      <c r="R8" s="75"/>
      <c r="S8" s="75"/>
      <c r="T8" s="75"/>
      <c r="U8" s="75"/>
      <c r="V8" s="75"/>
      <c r="W8" s="75"/>
      <c r="AE8" s="16"/>
    </row>
    <row r="9" spans="1:31" ht="62.25" customHeight="1">
      <c r="B9" s="127" t="s">
        <v>139</v>
      </c>
      <c r="C9" s="224" t="s">
        <v>140</v>
      </c>
      <c r="D9" s="342" t="s">
        <v>36</v>
      </c>
      <c r="E9" s="356" t="s">
        <v>36</v>
      </c>
      <c r="F9" s="183"/>
      <c r="G9" s="360" t="s">
        <v>37</v>
      </c>
      <c r="H9" s="125" t="s">
        <v>38</v>
      </c>
      <c r="I9" s="183"/>
      <c r="J9" s="249">
        <v>16403.14</v>
      </c>
      <c r="K9" s="249">
        <v>16403.14</v>
      </c>
      <c r="L9" s="122">
        <v>0</v>
      </c>
      <c r="M9" s="351">
        <v>16403.14</v>
      </c>
      <c r="N9" s="64">
        <v>1</v>
      </c>
      <c r="O9" s="60">
        <f>J9-K9</f>
        <v>0</v>
      </c>
      <c r="P9" s="266" t="s">
        <v>141</v>
      </c>
      <c r="Q9" s="131"/>
      <c r="R9" s="75"/>
      <c r="S9" s="75"/>
      <c r="T9" s="75"/>
      <c r="U9" s="75"/>
      <c r="V9" s="75"/>
      <c r="W9" s="75"/>
      <c r="AE9" s="16"/>
    </row>
    <row r="10" spans="1:31" ht="62.25" customHeight="1">
      <c r="B10" s="86" t="s">
        <v>142</v>
      </c>
      <c r="C10" s="54" t="s">
        <v>143</v>
      </c>
      <c r="D10" s="223" t="s">
        <v>13</v>
      </c>
      <c r="E10" s="96" t="s">
        <v>144</v>
      </c>
      <c r="F10" s="99"/>
      <c r="G10" s="358" t="s">
        <v>70</v>
      </c>
      <c r="H10" s="359" t="s">
        <v>38</v>
      </c>
      <c r="I10" s="125"/>
      <c r="J10" s="355">
        <v>9000</v>
      </c>
      <c r="K10" s="90">
        <v>0</v>
      </c>
      <c r="L10" s="111">
        <v>0</v>
      </c>
      <c r="M10" s="351">
        <v>0</v>
      </c>
      <c r="N10" s="10">
        <v>0</v>
      </c>
      <c r="O10" s="60">
        <f>J10-K10</f>
        <v>9000</v>
      </c>
      <c r="P10" s="9"/>
      <c r="Q10" s="116" t="s">
        <v>145</v>
      </c>
      <c r="R10" s="75"/>
      <c r="S10" s="75"/>
      <c r="T10" s="75"/>
      <c r="U10" s="75"/>
      <c r="V10" s="75"/>
      <c r="W10" s="75"/>
      <c r="AE10" s="16"/>
    </row>
    <row r="11" spans="1:31" ht="62.25">
      <c r="B11" s="127" t="s">
        <v>146</v>
      </c>
      <c r="C11" s="128" t="s">
        <v>147</v>
      </c>
      <c r="D11" s="129" t="s">
        <v>35</v>
      </c>
      <c r="E11" s="198" t="s">
        <v>148</v>
      </c>
      <c r="F11" s="183"/>
      <c r="G11" s="273" t="s">
        <v>37</v>
      </c>
      <c r="H11" s="125" t="s">
        <v>38</v>
      </c>
      <c r="I11" s="183"/>
      <c r="J11" s="205">
        <v>48726.81</v>
      </c>
      <c r="K11" s="60">
        <v>9745.36</v>
      </c>
      <c r="L11" s="122">
        <v>0</v>
      </c>
      <c r="M11" s="60">
        <f t="shared" si="0"/>
        <v>9745.36</v>
      </c>
      <c r="N11" s="64">
        <f t="shared" si="1"/>
        <v>0.19999995895483413</v>
      </c>
      <c r="O11" s="60">
        <f t="shared" ref="O11" si="3">J11-K11</f>
        <v>38981.449999999997</v>
      </c>
      <c r="P11" s="266"/>
      <c r="Q11" s="131"/>
      <c r="R11" s="75"/>
      <c r="S11" s="75"/>
      <c r="T11" s="75"/>
      <c r="U11" s="75"/>
      <c r="V11" s="75"/>
      <c r="W11" s="75"/>
      <c r="AE11" s="16"/>
    </row>
    <row r="12" spans="1:31" ht="82.5">
      <c r="B12" s="127" t="s">
        <v>149</v>
      </c>
      <c r="C12" s="128" t="s">
        <v>150</v>
      </c>
      <c r="D12" s="129" t="s">
        <v>151</v>
      </c>
      <c r="E12" s="198" t="s">
        <v>144</v>
      </c>
      <c r="F12" s="183"/>
      <c r="G12" s="273" t="s">
        <v>37</v>
      </c>
      <c r="H12" s="125" t="s">
        <v>38</v>
      </c>
      <c r="I12" s="183"/>
      <c r="J12" s="205">
        <v>27868.09</v>
      </c>
      <c r="K12" s="60">
        <v>0</v>
      </c>
      <c r="L12" s="122">
        <v>0</v>
      </c>
      <c r="M12" s="60">
        <f t="shared" si="0"/>
        <v>0</v>
      </c>
      <c r="N12" s="64">
        <f t="shared" si="1"/>
        <v>0</v>
      </c>
      <c r="O12" s="60">
        <f t="shared" ref="O12" si="4">J12-K12</f>
        <v>27868.09</v>
      </c>
      <c r="P12" s="266" t="s">
        <v>152</v>
      </c>
      <c r="Q12" s="131"/>
      <c r="R12" s="75"/>
      <c r="S12" s="75"/>
      <c r="T12" s="75"/>
      <c r="U12" s="75"/>
      <c r="V12" s="75"/>
      <c r="W12" s="75"/>
      <c r="AE12" s="16"/>
    </row>
    <row r="13" spans="1:31" ht="62.25">
      <c r="B13" s="127" t="s">
        <v>153</v>
      </c>
      <c r="C13" s="128" t="s">
        <v>150</v>
      </c>
      <c r="D13" s="129" t="s">
        <v>35</v>
      </c>
      <c r="E13" s="198" t="s">
        <v>148</v>
      </c>
      <c r="F13" s="183"/>
      <c r="G13" s="273" t="s">
        <v>37</v>
      </c>
      <c r="H13" s="125" t="s">
        <v>38</v>
      </c>
      <c r="I13" s="183"/>
      <c r="J13" s="205">
        <v>34334.120000000003</v>
      </c>
      <c r="K13" s="205">
        <v>34334.120000000003</v>
      </c>
      <c r="L13" s="122">
        <v>13733.65</v>
      </c>
      <c r="M13" s="60">
        <f t="shared" si="0"/>
        <v>20600.47</v>
      </c>
      <c r="N13" s="64">
        <f t="shared" si="1"/>
        <v>1</v>
      </c>
      <c r="O13" s="60">
        <f t="shared" ref="O13" si="5">J13-K13</f>
        <v>0</v>
      </c>
      <c r="P13" s="266" t="s">
        <v>154</v>
      </c>
      <c r="Q13" s="131"/>
      <c r="R13" s="75"/>
      <c r="S13" s="75"/>
      <c r="T13" s="75"/>
      <c r="U13" s="75"/>
      <c r="V13" s="75"/>
      <c r="W13" s="75"/>
      <c r="AE13" s="16"/>
    </row>
    <row r="14" spans="1:31" ht="54" hidden="1">
      <c r="B14" s="127" t="s">
        <v>155</v>
      </c>
      <c r="C14" s="128" t="s">
        <v>156</v>
      </c>
      <c r="D14" s="129" t="s">
        <v>85</v>
      </c>
      <c r="E14" s="198" t="s">
        <v>85</v>
      </c>
      <c r="F14" s="183"/>
      <c r="G14" s="273" t="s">
        <v>17</v>
      </c>
      <c r="H14" s="125" t="s">
        <v>38</v>
      </c>
      <c r="I14" s="183"/>
      <c r="J14" s="205">
        <v>5000</v>
      </c>
      <c r="K14" s="60">
        <v>5690.69</v>
      </c>
      <c r="L14" s="122">
        <v>0</v>
      </c>
      <c r="M14" s="60">
        <f t="shared" si="0"/>
        <v>5690.69</v>
      </c>
      <c r="N14" s="64">
        <f t="shared" si="1"/>
        <v>1.1381379999999999</v>
      </c>
      <c r="O14" s="60">
        <f t="shared" ref="O14" si="6">J14-K14</f>
        <v>-690.6899999999996</v>
      </c>
      <c r="P14" s="266"/>
      <c r="Q14" s="131"/>
      <c r="R14" s="75"/>
      <c r="S14" s="75"/>
      <c r="T14" s="75"/>
      <c r="U14" s="75"/>
      <c r="V14" s="75"/>
      <c r="W14" s="75"/>
      <c r="AE14" s="16"/>
    </row>
    <row r="15" spans="1:31" ht="76.5" hidden="1" customHeight="1">
      <c r="B15" s="127" t="s">
        <v>157</v>
      </c>
      <c r="C15" s="128" t="s">
        <v>158</v>
      </c>
      <c r="D15" s="129" t="s">
        <v>85</v>
      </c>
      <c r="E15" s="198" t="s">
        <v>85</v>
      </c>
      <c r="F15" s="183"/>
      <c r="G15" s="273" t="s">
        <v>17</v>
      </c>
      <c r="H15" s="125" t="s">
        <v>38</v>
      </c>
      <c r="I15" s="183"/>
      <c r="J15" s="205">
        <v>90000</v>
      </c>
      <c r="K15" s="60">
        <v>93670.38</v>
      </c>
      <c r="L15" s="122">
        <v>39670.379999999997</v>
      </c>
      <c r="M15" s="60">
        <f t="shared" si="0"/>
        <v>54000.000000000007</v>
      </c>
      <c r="N15" s="64">
        <f t="shared" si="1"/>
        <v>1.0407820000000001</v>
      </c>
      <c r="O15" s="60">
        <f t="shared" ref="O15" si="7">J15-K15</f>
        <v>-3670.3800000000047</v>
      </c>
      <c r="P15" s="266" t="s">
        <v>159</v>
      </c>
      <c r="Q15" s="131"/>
      <c r="R15" s="75"/>
      <c r="S15" s="75"/>
      <c r="T15" s="75"/>
      <c r="U15" s="75"/>
      <c r="V15" s="75"/>
      <c r="W15" s="75"/>
      <c r="AE15" s="16"/>
    </row>
    <row r="16" spans="1:31" ht="69" customHeight="1">
      <c r="B16" s="127" t="s">
        <v>160</v>
      </c>
      <c r="C16" s="128" t="s">
        <v>161</v>
      </c>
      <c r="D16" s="129" t="s">
        <v>35</v>
      </c>
      <c r="E16" s="198" t="s">
        <v>148</v>
      </c>
      <c r="F16" s="183"/>
      <c r="G16" s="273" t="s">
        <v>37</v>
      </c>
      <c r="H16" s="125" t="s">
        <v>38</v>
      </c>
      <c r="I16" s="183"/>
      <c r="J16" s="205">
        <v>25174.32</v>
      </c>
      <c r="K16" s="60">
        <v>5034.8599999999997</v>
      </c>
      <c r="L16" s="122">
        <v>0</v>
      </c>
      <c r="M16" s="60">
        <f t="shared" si="0"/>
        <v>5034.8599999999997</v>
      </c>
      <c r="N16" s="64">
        <f t="shared" si="1"/>
        <v>0.19999984110792265</v>
      </c>
      <c r="O16" s="60">
        <f t="shared" ref="O16" si="8">J16-K16</f>
        <v>20139.46</v>
      </c>
      <c r="P16" s="266"/>
      <c r="Q16" s="131"/>
      <c r="R16" s="75"/>
      <c r="S16" s="75"/>
      <c r="T16" s="75"/>
      <c r="U16" s="75"/>
      <c r="V16" s="75"/>
      <c r="W16" s="75"/>
      <c r="AE16" s="16"/>
    </row>
    <row r="17" spans="2:31" ht="62.25" hidden="1" customHeight="1">
      <c r="B17" s="127" t="s">
        <v>162</v>
      </c>
      <c r="C17" s="128" t="s">
        <v>63</v>
      </c>
      <c r="D17" s="129" t="s">
        <v>35</v>
      </c>
      <c r="E17" s="130" t="s">
        <v>148</v>
      </c>
      <c r="F17" s="183"/>
      <c r="G17" s="196" t="s">
        <v>17</v>
      </c>
      <c r="H17" s="125" t="s">
        <v>38</v>
      </c>
      <c r="I17" s="183"/>
      <c r="J17" s="109">
        <v>11601.45</v>
      </c>
      <c r="K17" s="60">
        <v>12410.7</v>
      </c>
      <c r="L17" s="122">
        <v>0</v>
      </c>
      <c r="M17" s="60">
        <f t="shared" si="0"/>
        <v>12410.7</v>
      </c>
      <c r="N17" s="64">
        <f t="shared" si="1"/>
        <v>1.069754211758013</v>
      </c>
      <c r="O17" s="60">
        <f t="shared" ref="O17" si="9">J17-K17</f>
        <v>-809.25</v>
      </c>
      <c r="P17" s="266"/>
      <c r="Q17" s="131"/>
      <c r="R17" s="75"/>
      <c r="S17" s="75"/>
      <c r="T17" s="75"/>
      <c r="U17" s="75"/>
      <c r="V17" s="75"/>
      <c r="W17" s="75"/>
      <c r="AE17" s="16"/>
    </row>
    <row r="18" spans="2:31" ht="62.25" hidden="1" customHeight="1">
      <c r="B18" s="127" t="s">
        <v>163</v>
      </c>
      <c r="C18" s="128"/>
      <c r="D18" s="129"/>
      <c r="E18" s="130" t="s">
        <v>85</v>
      </c>
      <c r="F18" s="183"/>
      <c r="G18" s="196" t="s">
        <v>17</v>
      </c>
      <c r="H18" s="125" t="s">
        <v>38</v>
      </c>
      <c r="I18" s="183"/>
      <c r="J18" s="109">
        <v>33900</v>
      </c>
      <c r="K18" s="60">
        <v>33900</v>
      </c>
      <c r="L18" s="122">
        <v>0</v>
      </c>
      <c r="M18" s="60">
        <f t="shared" si="0"/>
        <v>33900</v>
      </c>
      <c r="N18" s="64">
        <f t="shared" si="1"/>
        <v>1</v>
      </c>
      <c r="O18" s="60">
        <f t="shared" ref="O18" si="10">J18-K18</f>
        <v>0</v>
      </c>
      <c r="P18" s="266" t="s">
        <v>164</v>
      </c>
      <c r="Q18" s="131"/>
      <c r="R18" s="75"/>
      <c r="S18" s="75"/>
      <c r="T18" s="75"/>
      <c r="U18" s="75"/>
      <c r="V18" s="75"/>
      <c r="W18" s="75"/>
      <c r="AE18" s="16"/>
    </row>
    <row r="19" spans="2:31" ht="72" hidden="1">
      <c r="B19" s="127" t="s">
        <v>165</v>
      </c>
      <c r="C19" s="128" t="s">
        <v>63</v>
      </c>
      <c r="D19" s="129" t="s">
        <v>151</v>
      </c>
      <c r="E19" s="198" t="s">
        <v>148</v>
      </c>
      <c r="F19" s="183"/>
      <c r="G19" s="273" t="s">
        <v>17</v>
      </c>
      <c r="H19" s="125" t="s">
        <v>38</v>
      </c>
      <c r="I19" s="183"/>
      <c r="J19" s="205">
        <v>14435.66</v>
      </c>
      <c r="K19" s="60">
        <v>14861.04</v>
      </c>
      <c r="L19" s="122">
        <v>0</v>
      </c>
      <c r="M19" s="60">
        <f t="shared" si="0"/>
        <v>14861.04</v>
      </c>
      <c r="N19" s="64">
        <f t="shared" si="1"/>
        <v>1.0294673052704206</v>
      </c>
      <c r="O19" s="60">
        <f>J19-K19</f>
        <v>-425.38000000000102</v>
      </c>
      <c r="P19" s="266"/>
      <c r="Q19" s="131"/>
      <c r="R19" s="75"/>
      <c r="S19" s="75"/>
      <c r="T19" s="75"/>
      <c r="U19" s="75"/>
      <c r="V19" s="75"/>
      <c r="W19" s="75"/>
      <c r="AE19" s="16"/>
    </row>
    <row r="20" spans="2:31" ht="54" hidden="1">
      <c r="B20" s="127" t="s">
        <v>166</v>
      </c>
      <c r="C20" s="128" t="s">
        <v>34</v>
      </c>
      <c r="D20" s="129" t="s">
        <v>35</v>
      </c>
      <c r="E20" s="198" t="s">
        <v>42</v>
      </c>
      <c r="F20" s="183"/>
      <c r="G20" s="202" t="s">
        <v>17</v>
      </c>
      <c r="H20" s="125" t="s">
        <v>38</v>
      </c>
      <c r="I20" s="183"/>
      <c r="J20" s="205">
        <v>23700</v>
      </c>
      <c r="K20" s="60">
        <v>23700</v>
      </c>
      <c r="L20" s="122">
        <v>14220</v>
      </c>
      <c r="M20" s="9">
        <f t="shared" ref="M20:M47" si="11">K20-L20</f>
        <v>9480</v>
      </c>
      <c r="N20" s="10">
        <f t="shared" ref="N20:N47" si="12">K20/J20</f>
        <v>1</v>
      </c>
      <c r="O20" s="9">
        <f t="shared" ref="O20:O47" si="13">J20-K20</f>
        <v>0</v>
      </c>
      <c r="P20" s="266" t="s">
        <v>167</v>
      </c>
      <c r="Q20" s="131"/>
      <c r="R20" s="75"/>
      <c r="S20" s="75"/>
      <c r="T20" s="75"/>
      <c r="U20" s="75"/>
      <c r="V20" s="75"/>
      <c r="W20" s="75"/>
      <c r="AE20" s="16"/>
    </row>
    <row r="21" spans="2:31" ht="62.25">
      <c r="B21" s="127" t="s">
        <v>168</v>
      </c>
      <c r="C21" s="128" t="s">
        <v>45</v>
      </c>
      <c r="D21" s="129" t="s">
        <v>35</v>
      </c>
      <c r="E21" s="198" t="s">
        <v>46</v>
      </c>
      <c r="F21" s="183"/>
      <c r="G21" s="202" t="s">
        <v>37</v>
      </c>
      <c r="H21" s="125" t="s">
        <v>38</v>
      </c>
      <c r="I21" s="183"/>
      <c r="J21" s="205">
        <v>18825.5</v>
      </c>
      <c r="K21" s="60">
        <v>11295.3</v>
      </c>
      <c r="L21" s="122">
        <v>0</v>
      </c>
      <c r="M21" s="9">
        <f t="shared" ref="M21" si="14">K21-L21</f>
        <v>11295.3</v>
      </c>
      <c r="N21" s="10">
        <f t="shared" ref="N21" si="15">K21/J21</f>
        <v>0.6</v>
      </c>
      <c r="O21" s="9">
        <f t="shared" ref="O21" si="16">J21-K21</f>
        <v>7530.2000000000007</v>
      </c>
      <c r="P21" s="266" t="s">
        <v>169</v>
      </c>
      <c r="Q21" s="131"/>
      <c r="R21" s="75"/>
      <c r="S21" s="75"/>
      <c r="T21" s="75"/>
      <c r="U21" s="75"/>
      <c r="V21" s="75"/>
      <c r="W21" s="75"/>
      <c r="AE21" s="16"/>
    </row>
    <row r="22" spans="2:31" ht="54">
      <c r="B22" s="127" t="s">
        <v>170</v>
      </c>
      <c r="C22" s="128" t="s">
        <v>140</v>
      </c>
      <c r="D22" s="129" t="s">
        <v>35</v>
      </c>
      <c r="E22" s="198" t="s">
        <v>46</v>
      </c>
      <c r="F22" s="183"/>
      <c r="G22" s="274" t="s">
        <v>56</v>
      </c>
      <c r="H22" s="125" t="s">
        <v>38</v>
      </c>
      <c r="I22" s="183"/>
      <c r="J22" s="205">
        <v>10085</v>
      </c>
      <c r="K22" s="60">
        <v>0</v>
      </c>
      <c r="L22" s="122">
        <v>0</v>
      </c>
      <c r="M22" s="9">
        <f t="shared" si="11"/>
        <v>0</v>
      </c>
      <c r="N22" s="10">
        <f t="shared" si="12"/>
        <v>0</v>
      </c>
      <c r="O22" s="9">
        <f t="shared" si="13"/>
        <v>10085</v>
      </c>
      <c r="P22" s="266" t="s">
        <v>171</v>
      </c>
      <c r="Q22" s="131"/>
      <c r="R22" s="75"/>
      <c r="S22" s="75"/>
      <c r="T22" s="75"/>
      <c r="U22" s="75"/>
      <c r="V22" s="75"/>
      <c r="W22" s="75"/>
      <c r="AE22" s="16"/>
    </row>
    <row r="23" spans="2:31" ht="62.25" hidden="1" customHeight="1">
      <c r="B23" s="127" t="s">
        <v>172</v>
      </c>
      <c r="C23" s="128" t="s">
        <v>34</v>
      </c>
      <c r="D23" s="129" t="s">
        <v>35</v>
      </c>
      <c r="E23" s="130" t="s">
        <v>85</v>
      </c>
      <c r="F23" s="183"/>
      <c r="G23" s="124" t="s">
        <v>17</v>
      </c>
      <c r="H23" s="125" t="s">
        <v>38</v>
      </c>
      <c r="I23" s="183"/>
      <c r="J23" s="109">
        <v>41000</v>
      </c>
      <c r="K23" s="60">
        <v>45947.1</v>
      </c>
      <c r="L23" s="122">
        <v>0</v>
      </c>
      <c r="M23" s="9">
        <f>K23-L23</f>
        <v>45947.1</v>
      </c>
      <c r="N23" s="10">
        <f t="shared" si="12"/>
        <v>1.1206609756097561</v>
      </c>
      <c r="O23" s="9">
        <f t="shared" si="13"/>
        <v>-4947.0999999999985</v>
      </c>
      <c r="P23" s="241"/>
      <c r="Q23" s="131"/>
      <c r="R23" s="75"/>
      <c r="S23" s="75"/>
      <c r="T23" s="75"/>
      <c r="U23" s="75"/>
      <c r="V23" s="75"/>
      <c r="W23" s="75"/>
      <c r="AE23" s="16"/>
    </row>
    <row r="24" spans="2:31" ht="82.5" hidden="1" customHeight="1">
      <c r="B24" s="127" t="s">
        <v>173</v>
      </c>
      <c r="C24" s="128" t="s">
        <v>161</v>
      </c>
      <c r="D24" s="129" t="s">
        <v>36</v>
      </c>
      <c r="E24" s="130" t="s">
        <v>36</v>
      </c>
      <c r="F24" s="183"/>
      <c r="G24" s="124" t="s">
        <v>17</v>
      </c>
      <c r="H24" s="125" t="s">
        <v>38</v>
      </c>
      <c r="I24" s="183"/>
      <c r="J24" s="109">
        <v>5850</v>
      </c>
      <c r="K24" s="60">
        <v>5850</v>
      </c>
      <c r="L24" s="122">
        <v>0</v>
      </c>
      <c r="M24" s="9">
        <f t="shared" si="11"/>
        <v>5850</v>
      </c>
      <c r="N24" s="10">
        <f t="shared" si="12"/>
        <v>1</v>
      </c>
      <c r="O24" s="9">
        <f t="shared" si="13"/>
        <v>0</v>
      </c>
      <c r="P24" s="266"/>
      <c r="Q24" s="131"/>
      <c r="R24" s="75"/>
      <c r="S24" s="75"/>
      <c r="T24" s="75"/>
      <c r="U24" s="75"/>
      <c r="V24" s="75"/>
      <c r="W24" s="75"/>
      <c r="AE24" s="16"/>
    </row>
    <row r="25" spans="2:31" ht="62.25">
      <c r="B25" s="127" t="s">
        <v>174</v>
      </c>
      <c r="C25" s="128" t="s">
        <v>175</v>
      </c>
      <c r="D25" s="129" t="s">
        <v>151</v>
      </c>
      <c r="E25" s="198" t="s">
        <v>148</v>
      </c>
      <c r="F25" s="183"/>
      <c r="G25" s="202" t="s">
        <v>37</v>
      </c>
      <c r="H25" s="125" t="s">
        <v>38</v>
      </c>
      <c r="I25" s="183"/>
      <c r="J25" s="205">
        <v>60799.85</v>
      </c>
      <c r="K25" s="60">
        <v>45119.94</v>
      </c>
      <c r="L25" s="122">
        <v>24319.94</v>
      </c>
      <c r="M25" s="9">
        <f t="shared" si="11"/>
        <v>20800.000000000004</v>
      </c>
      <c r="N25" s="10">
        <f t="shared" si="12"/>
        <v>0.7421061071696724</v>
      </c>
      <c r="O25" s="9">
        <f t="shared" si="13"/>
        <v>15679.909999999996</v>
      </c>
      <c r="P25" s="266" t="s">
        <v>176</v>
      </c>
      <c r="Q25" s="131"/>
      <c r="R25" s="75"/>
      <c r="S25" s="75"/>
      <c r="T25" s="75"/>
      <c r="U25" s="75"/>
      <c r="V25" s="75"/>
      <c r="W25" s="75"/>
      <c r="AE25" s="16"/>
    </row>
    <row r="26" spans="2:31" ht="102.75" hidden="1" customHeight="1">
      <c r="B26" s="127" t="s">
        <v>177</v>
      </c>
      <c r="C26" s="128" t="s">
        <v>178</v>
      </c>
      <c r="D26" s="129" t="s">
        <v>72</v>
      </c>
      <c r="E26" s="130" t="s">
        <v>85</v>
      </c>
      <c r="F26" s="183"/>
      <c r="G26" s="124" t="s">
        <v>17</v>
      </c>
      <c r="H26" s="125" t="s">
        <v>38</v>
      </c>
      <c r="I26" s="183"/>
      <c r="J26" s="109">
        <v>32675</v>
      </c>
      <c r="K26" s="60">
        <v>32675</v>
      </c>
      <c r="L26" s="122">
        <v>0</v>
      </c>
      <c r="M26" s="9">
        <f t="shared" si="11"/>
        <v>32675</v>
      </c>
      <c r="N26" s="10">
        <f t="shared" si="12"/>
        <v>1</v>
      </c>
      <c r="O26" s="9">
        <f t="shared" si="13"/>
        <v>0</v>
      </c>
      <c r="P26" s="266"/>
      <c r="Q26" s="131"/>
      <c r="R26" s="75"/>
      <c r="S26" s="75"/>
      <c r="T26" s="75"/>
      <c r="U26" s="75"/>
      <c r="V26" s="75"/>
      <c r="W26" s="75"/>
      <c r="AE26" s="16"/>
    </row>
    <row r="27" spans="2:31" ht="72">
      <c r="B27" s="127" t="s">
        <v>179</v>
      </c>
      <c r="C27" s="128" t="s">
        <v>45</v>
      </c>
      <c r="D27" s="129" t="s">
        <v>35</v>
      </c>
      <c r="E27" s="198" t="s">
        <v>36</v>
      </c>
      <c r="F27" s="183"/>
      <c r="G27" s="202" t="s">
        <v>37</v>
      </c>
      <c r="H27" s="125" t="s">
        <v>38</v>
      </c>
      <c r="I27" s="183"/>
      <c r="J27" s="205">
        <v>35541</v>
      </c>
      <c r="K27" s="60">
        <v>23150</v>
      </c>
      <c r="L27" s="122">
        <v>0</v>
      </c>
      <c r="M27" s="9">
        <f t="shared" si="11"/>
        <v>23150</v>
      </c>
      <c r="N27" s="10">
        <f t="shared" si="12"/>
        <v>0.65136040066402179</v>
      </c>
      <c r="O27" s="9">
        <f t="shared" si="13"/>
        <v>12391</v>
      </c>
      <c r="P27" s="266"/>
      <c r="Q27" s="131"/>
      <c r="R27" s="75"/>
      <c r="S27" s="75"/>
      <c r="T27" s="75"/>
      <c r="U27" s="75"/>
      <c r="V27" s="75"/>
      <c r="W27" s="75"/>
      <c r="AE27" s="16"/>
    </row>
    <row r="28" spans="2:31" ht="82.5" hidden="1" customHeight="1">
      <c r="B28" s="127" t="s">
        <v>180</v>
      </c>
      <c r="C28" s="128" t="s">
        <v>181</v>
      </c>
      <c r="D28" s="129" t="s">
        <v>35</v>
      </c>
      <c r="E28" s="130" t="s">
        <v>36</v>
      </c>
      <c r="F28" s="183"/>
      <c r="G28" s="242" t="s">
        <v>17</v>
      </c>
      <c r="H28" s="125" t="s">
        <v>38</v>
      </c>
      <c r="I28" s="183"/>
      <c r="J28" s="109">
        <v>9938.4</v>
      </c>
      <c r="K28" s="60">
        <v>9938.4</v>
      </c>
      <c r="L28" s="122">
        <v>0</v>
      </c>
      <c r="M28" s="9">
        <f t="shared" si="11"/>
        <v>9938.4</v>
      </c>
      <c r="N28" s="10">
        <f t="shared" si="12"/>
        <v>1</v>
      </c>
      <c r="O28" s="9">
        <f t="shared" si="13"/>
        <v>0</v>
      </c>
      <c r="P28" s="266"/>
      <c r="Q28" s="131"/>
      <c r="R28" s="75"/>
      <c r="S28" s="75"/>
      <c r="T28" s="75"/>
      <c r="U28" s="75"/>
      <c r="V28" s="75"/>
      <c r="W28" s="75"/>
      <c r="AE28" s="16"/>
    </row>
    <row r="29" spans="2:31" ht="102.75" hidden="1" customHeight="1">
      <c r="B29" s="127" t="s">
        <v>182</v>
      </c>
      <c r="C29" s="128" t="s">
        <v>63</v>
      </c>
      <c r="D29" s="129" t="s">
        <v>151</v>
      </c>
      <c r="E29" s="130" t="s">
        <v>183</v>
      </c>
      <c r="F29" s="183"/>
      <c r="G29" s="124" t="s">
        <v>17</v>
      </c>
      <c r="H29" s="125" t="s">
        <v>38</v>
      </c>
      <c r="I29" s="183"/>
      <c r="J29" s="109">
        <v>13066.07</v>
      </c>
      <c r="K29" s="60">
        <v>13066.07</v>
      </c>
      <c r="L29" s="122">
        <v>0</v>
      </c>
      <c r="M29" s="9">
        <f t="shared" si="11"/>
        <v>13066.07</v>
      </c>
      <c r="N29" s="10">
        <f t="shared" si="12"/>
        <v>1</v>
      </c>
      <c r="O29" s="9">
        <f t="shared" si="13"/>
        <v>0</v>
      </c>
      <c r="P29" s="241"/>
      <c r="Q29" s="131"/>
      <c r="R29" s="75"/>
      <c r="S29" s="75"/>
      <c r="T29" s="75"/>
      <c r="U29" s="75"/>
      <c r="V29" s="75"/>
      <c r="W29" s="75"/>
      <c r="AE29" s="16"/>
    </row>
    <row r="30" spans="2:31" ht="62.25" hidden="1" customHeight="1">
      <c r="B30" s="127" t="s">
        <v>184</v>
      </c>
      <c r="C30" s="128" t="s">
        <v>63</v>
      </c>
      <c r="D30" s="129" t="s">
        <v>72</v>
      </c>
      <c r="E30" s="130" t="s">
        <v>185</v>
      </c>
      <c r="F30" s="183"/>
      <c r="G30" s="242" t="s">
        <v>17</v>
      </c>
      <c r="H30" s="125" t="s">
        <v>38</v>
      </c>
      <c r="I30" s="183"/>
      <c r="J30" s="109">
        <v>11612.47</v>
      </c>
      <c r="K30" s="60">
        <v>11612.47</v>
      </c>
      <c r="L30" s="122">
        <v>0</v>
      </c>
      <c r="M30" s="9">
        <f t="shared" si="11"/>
        <v>11612.47</v>
      </c>
      <c r="N30" s="10">
        <f t="shared" si="12"/>
        <v>1</v>
      </c>
      <c r="O30" s="9">
        <f t="shared" si="13"/>
        <v>0</v>
      </c>
      <c r="P30" s="266"/>
      <c r="Q30" s="131"/>
      <c r="R30" s="75"/>
      <c r="S30" s="75"/>
      <c r="T30" s="75"/>
      <c r="U30" s="75"/>
      <c r="V30" s="75"/>
      <c r="W30" s="75"/>
      <c r="AE30" s="16"/>
    </row>
    <row r="31" spans="2:31" ht="62.25">
      <c r="B31" s="127" t="s">
        <v>186</v>
      </c>
      <c r="C31" s="128" t="s">
        <v>150</v>
      </c>
      <c r="D31" s="129" t="s">
        <v>35</v>
      </c>
      <c r="E31" s="198" t="s">
        <v>46</v>
      </c>
      <c r="F31" s="183"/>
      <c r="G31" s="275" t="s">
        <v>70</v>
      </c>
      <c r="H31" s="125" t="s">
        <v>38</v>
      </c>
      <c r="I31" s="183"/>
      <c r="J31" s="205">
        <v>17795.45</v>
      </c>
      <c r="K31" s="60">
        <v>10872.22</v>
      </c>
      <c r="L31" s="122">
        <v>1100</v>
      </c>
      <c r="M31" s="9">
        <f t="shared" si="11"/>
        <v>9772.2199999999993</v>
      </c>
      <c r="N31" s="10">
        <f t="shared" si="12"/>
        <v>0.61095504749809637</v>
      </c>
      <c r="O31" s="9">
        <f t="shared" si="13"/>
        <v>6923.2300000000014</v>
      </c>
      <c r="P31" s="266" t="s">
        <v>187</v>
      </c>
      <c r="Q31" s="131"/>
      <c r="R31" s="75"/>
      <c r="S31" s="75"/>
      <c r="T31" s="75"/>
      <c r="U31" s="75"/>
      <c r="V31" s="75"/>
      <c r="W31" s="75"/>
      <c r="AE31" s="16"/>
    </row>
    <row r="32" spans="2:31" ht="72">
      <c r="B32" s="127" t="s">
        <v>188</v>
      </c>
      <c r="C32" s="128" t="s">
        <v>189</v>
      </c>
      <c r="D32" s="129" t="s">
        <v>151</v>
      </c>
      <c r="E32" s="198" t="s">
        <v>46</v>
      </c>
      <c r="F32" s="183"/>
      <c r="G32" s="275" t="s">
        <v>70</v>
      </c>
      <c r="H32" s="125" t="s">
        <v>38</v>
      </c>
      <c r="I32" s="183"/>
      <c r="J32" s="205">
        <v>950</v>
      </c>
      <c r="K32" s="60">
        <v>950</v>
      </c>
      <c r="L32" s="122">
        <v>200</v>
      </c>
      <c r="M32" s="9">
        <f t="shared" ref="M32" si="17">K32-L32</f>
        <v>750</v>
      </c>
      <c r="N32" s="10">
        <f t="shared" ref="N32" si="18">K32/J32</f>
        <v>1</v>
      </c>
      <c r="O32" s="9">
        <f t="shared" ref="O32" si="19">J32-K32</f>
        <v>0</v>
      </c>
      <c r="P32" s="261" t="s">
        <v>190</v>
      </c>
      <c r="Q32" s="131"/>
      <c r="R32" s="75"/>
      <c r="S32" s="75"/>
      <c r="T32" s="75"/>
      <c r="U32" s="75"/>
      <c r="V32" s="75"/>
      <c r="W32" s="75"/>
      <c r="AE32" s="16"/>
    </row>
    <row r="33" spans="2:31" ht="72" hidden="1" customHeight="1">
      <c r="B33" s="127" t="s">
        <v>191</v>
      </c>
      <c r="C33" s="128" t="s">
        <v>63</v>
      </c>
      <c r="D33" s="129" t="s">
        <v>35</v>
      </c>
      <c r="E33" s="130" t="s">
        <v>85</v>
      </c>
      <c r="F33" s="183"/>
      <c r="G33" s="124" t="s">
        <v>17</v>
      </c>
      <c r="H33" s="125" t="s">
        <v>38</v>
      </c>
      <c r="I33" s="183"/>
      <c r="J33" s="109">
        <v>9210</v>
      </c>
      <c r="K33" s="60">
        <v>9210</v>
      </c>
      <c r="L33" s="122">
        <v>0</v>
      </c>
      <c r="M33" s="9">
        <f t="shared" si="11"/>
        <v>9210</v>
      </c>
      <c r="N33" s="10">
        <f t="shared" si="12"/>
        <v>1</v>
      </c>
      <c r="O33" s="9">
        <f t="shared" si="13"/>
        <v>0</v>
      </c>
      <c r="P33" s="75"/>
      <c r="Q33" s="131"/>
      <c r="R33" s="75"/>
      <c r="S33" s="75"/>
      <c r="T33" s="75"/>
      <c r="U33" s="75"/>
      <c r="V33" s="75"/>
      <c r="W33" s="75"/>
      <c r="AE33" s="16"/>
    </row>
    <row r="34" spans="2:31" ht="54" hidden="1" customHeight="1">
      <c r="B34" s="127" t="s">
        <v>192</v>
      </c>
      <c r="C34" s="128" t="s">
        <v>45</v>
      </c>
      <c r="D34" s="129" t="s">
        <v>35</v>
      </c>
      <c r="E34" s="130" t="s">
        <v>46</v>
      </c>
      <c r="F34" s="183"/>
      <c r="G34" s="124" t="s">
        <v>17</v>
      </c>
      <c r="H34" s="125" t="s">
        <v>38</v>
      </c>
      <c r="I34" s="183"/>
      <c r="J34" s="109">
        <v>25605</v>
      </c>
      <c r="K34" s="60">
        <v>25605</v>
      </c>
      <c r="L34" s="122">
        <v>0</v>
      </c>
      <c r="M34" s="9">
        <f t="shared" si="11"/>
        <v>25605</v>
      </c>
      <c r="N34" s="10">
        <f t="shared" si="12"/>
        <v>1</v>
      </c>
      <c r="O34" s="9">
        <f t="shared" si="13"/>
        <v>0</v>
      </c>
      <c r="P34" s="75" t="s">
        <v>193</v>
      </c>
      <c r="Q34" s="131"/>
      <c r="R34" s="75"/>
      <c r="S34" s="75"/>
      <c r="T34" s="75"/>
      <c r="U34" s="75"/>
      <c r="V34" s="75"/>
      <c r="W34" s="75"/>
      <c r="AE34" s="16"/>
    </row>
    <row r="35" spans="2:31" ht="72" hidden="1" customHeight="1">
      <c r="B35" s="127" t="s">
        <v>194</v>
      </c>
      <c r="C35" s="128" t="s">
        <v>63</v>
      </c>
      <c r="D35" s="129" t="s">
        <v>72</v>
      </c>
      <c r="E35" s="130" t="s">
        <v>46</v>
      </c>
      <c r="F35" s="183"/>
      <c r="G35" s="124" t="s">
        <v>17</v>
      </c>
      <c r="H35" s="125" t="s">
        <v>38</v>
      </c>
      <c r="I35" s="183"/>
      <c r="J35" s="109">
        <v>8983.65</v>
      </c>
      <c r="K35" s="60">
        <v>9721.15</v>
      </c>
      <c r="L35" s="122">
        <v>0</v>
      </c>
      <c r="M35" s="9">
        <f t="shared" si="11"/>
        <v>9721.15</v>
      </c>
      <c r="N35" s="10">
        <f t="shared" si="12"/>
        <v>1.0820935811168066</v>
      </c>
      <c r="O35" s="9">
        <f t="shared" si="13"/>
        <v>-737.5</v>
      </c>
      <c r="P35" s="75" t="s">
        <v>193</v>
      </c>
      <c r="Q35" s="131"/>
      <c r="R35" s="75"/>
      <c r="S35" s="75"/>
      <c r="T35" s="75"/>
      <c r="U35" s="75"/>
      <c r="V35" s="75"/>
      <c r="W35" s="75"/>
      <c r="AE35" s="16"/>
    </row>
    <row r="36" spans="2:31" ht="54" hidden="1" customHeight="1">
      <c r="B36" s="127" t="s">
        <v>195</v>
      </c>
      <c r="C36" s="128" t="s">
        <v>181</v>
      </c>
      <c r="D36" s="129" t="s">
        <v>35</v>
      </c>
      <c r="E36" s="130" t="s">
        <v>46</v>
      </c>
      <c r="F36" s="183"/>
      <c r="G36" s="124" t="s">
        <v>17</v>
      </c>
      <c r="H36" s="125" t="s">
        <v>38</v>
      </c>
      <c r="I36" s="183"/>
      <c r="J36" s="109">
        <v>10237.68</v>
      </c>
      <c r="K36" s="60">
        <v>10237.68</v>
      </c>
      <c r="L36" s="122">
        <v>0</v>
      </c>
      <c r="M36" s="9">
        <f t="shared" si="11"/>
        <v>10237.68</v>
      </c>
      <c r="N36" s="10">
        <f t="shared" si="12"/>
        <v>1</v>
      </c>
      <c r="O36" s="9">
        <f t="shared" si="13"/>
        <v>0</v>
      </c>
      <c r="P36" s="75" t="s">
        <v>193</v>
      </c>
      <c r="Q36" s="131"/>
      <c r="R36" s="75"/>
      <c r="S36" s="75"/>
      <c r="T36" s="75"/>
      <c r="U36" s="75"/>
      <c r="V36" s="75"/>
      <c r="W36" s="75"/>
      <c r="AE36" s="16"/>
    </row>
    <row r="37" spans="2:31" ht="54">
      <c r="B37" s="127" t="s">
        <v>196</v>
      </c>
      <c r="C37" s="128" t="s">
        <v>63</v>
      </c>
      <c r="D37" s="129" t="s">
        <v>72</v>
      </c>
      <c r="E37" s="198" t="s">
        <v>185</v>
      </c>
      <c r="F37" s="183"/>
      <c r="G37" s="275" t="s">
        <v>70</v>
      </c>
      <c r="H37" s="125" t="s">
        <v>38</v>
      </c>
      <c r="I37" s="183"/>
      <c r="J37" s="205">
        <v>11388.7</v>
      </c>
      <c r="K37" s="60">
        <v>11388.7</v>
      </c>
      <c r="L37" s="122">
        <v>420</v>
      </c>
      <c r="M37" s="9">
        <f t="shared" si="11"/>
        <v>10968.7</v>
      </c>
      <c r="N37" s="10">
        <f t="shared" si="12"/>
        <v>1</v>
      </c>
      <c r="O37" s="9">
        <f t="shared" si="13"/>
        <v>0</v>
      </c>
      <c r="P37" s="266" t="s">
        <v>197</v>
      </c>
      <c r="Q37" s="131"/>
      <c r="R37" s="75"/>
      <c r="S37" s="75"/>
      <c r="T37" s="75"/>
      <c r="U37" s="75"/>
      <c r="V37" s="75"/>
      <c r="W37" s="75"/>
      <c r="AE37" s="16"/>
    </row>
    <row r="38" spans="2:31" ht="72" customHeight="1">
      <c r="B38" s="127" t="s">
        <v>198</v>
      </c>
      <c r="C38" s="128" t="s">
        <v>158</v>
      </c>
      <c r="D38" s="129" t="s">
        <v>36</v>
      </c>
      <c r="E38" s="130" t="s">
        <v>36</v>
      </c>
      <c r="F38" s="183"/>
      <c r="G38" s="124" t="s">
        <v>17</v>
      </c>
      <c r="H38" s="125" t="s">
        <v>38</v>
      </c>
      <c r="I38" s="183"/>
      <c r="J38" s="109">
        <v>28962</v>
      </c>
      <c r="K38" s="60">
        <v>28962</v>
      </c>
      <c r="L38" s="122">
        <v>0</v>
      </c>
      <c r="M38" s="9">
        <f t="shared" si="11"/>
        <v>28962</v>
      </c>
      <c r="N38" s="10">
        <f t="shared" si="12"/>
        <v>1</v>
      </c>
      <c r="O38" s="9">
        <f t="shared" si="13"/>
        <v>0</v>
      </c>
      <c r="P38" s="261"/>
      <c r="Q38" s="131"/>
      <c r="R38" s="75"/>
      <c r="S38" s="75"/>
      <c r="T38" s="75"/>
      <c r="U38" s="75"/>
      <c r="V38" s="75"/>
      <c r="W38" s="75"/>
      <c r="AE38" s="16"/>
    </row>
    <row r="39" spans="2:31" ht="54" customHeight="1">
      <c r="B39" s="127" t="s">
        <v>199</v>
      </c>
      <c r="C39" s="128" t="s">
        <v>63</v>
      </c>
      <c r="D39" s="129" t="s">
        <v>77</v>
      </c>
      <c r="E39" s="130" t="s">
        <v>185</v>
      </c>
      <c r="F39" s="183"/>
      <c r="G39" s="124" t="s">
        <v>17</v>
      </c>
      <c r="H39" s="125" t="s">
        <v>38</v>
      </c>
      <c r="I39" s="183"/>
      <c r="J39" s="109">
        <v>22416.400000000001</v>
      </c>
      <c r="K39" s="60">
        <v>22416.400000000001</v>
      </c>
      <c r="L39" s="122">
        <v>0</v>
      </c>
      <c r="M39" s="9">
        <f t="shared" si="11"/>
        <v>22416.400000000001</v>
      </c>
      <c r="N39" s="10">
        <f t="shared" si="12"/>
        <v>1</v>
      </c>
      <c r="O39" s="9">
        <f t="shared" si="13"/>
        <v>0</v>
      </c>
      <c r="P39" s="261"/>
      <c r="Q39" s="131"/>
      <c r="R39" s="75"/>
      <c r="S39" s="75"/>
      <c r="T39" s="75"/>
      <c r="U39" s="75"/>
      <c r="V39" s="75"/>
      <c r="W39" s="75"/>
      <c r="AE39" s="16"/>
    </row>
    <row r="40" spans="2:31" ht="72" customHeight="1">
      <c r="B40" s="127" t="s">
        <v>200</v>
      </c>
      <c r="C40" s="128" t="s">
        <v>63</v>
      </c>
      <c r="D40" s="129" t="s">
        <v>72</v>
      </c>
      <c r="E40" s="130" t="s">
        <v>85</v>
      </c>
      <c r="F40" s="183"/>
      <c r="G40" s="124" t="s">
        <v>17</v>
      </c>
      <c r="H40" s="125" t="s">
        <v>38</v>
      </c>
      <c r="I40" s="183"/>
      <c r="J40" s="109">
        <v>16117.47</v>
      </c>
      <c r="K40" s="60">
        <v>16117.47</v>
      </c>
      <c r="L40" s="122">
        <v>0</v>
      </c>
      <c r="M40" s="9">
        <f t="shared" si="11"/>
        <v>16117.47</v>
      </c>
      <c r="N40" s="10">
        <f t="shared" si="12"/>
        <v>1</v>
      </c>
      <c r="O40" s="9">
        <f t="shared" si="13"/>
        <v>0</v>
      </c>
      <c r="P40" s="261" t="s">
        <v>193</v>
      </c>
      <c r="Q40" s="131"/>
      <c r="R40" s="75"/>
      <c r="S40" s="75"/>
      <c r="T40" s="75"/>
      <c r="U40" s="75"/>
      <c r="V40" s="75"/>
      <c r="W40" s="75"/>
      <c r="AE40" s="16"/>
    </row>
    <row r="41" spans="2:31" ht="72" customHeight="1">
      <c r="B41" s="127" t="s">
        <v>201</v>
      </c>
      <c r="C41" s="128" t="s">
        <v>63</v>
      </c>
      <c r="D41" s="129" t="s">
        <v>35</v>
      </c>
      <c r="E41" s="130" t="s">
        <v>185</v>
      </c>
      <c r="F41" s="183"/>
      <c r="G41" s="124" t="s">
        <v>17</v>
      </c>
      <c r="H41" s="125" t="s">
        <v>38</v>
      </c>
      <c r="I41" s="183"/>
      <c r="J41" s="109">
        <v>28102.73</v>
      </c>
      <c r="K41" s="60">
        <v>28102.74</v>
      </c>
      <c r="L41" s="122">
        <v>0</v>
      </c>
      <c r="M41" s="9">
        <f t="shared" si="11"/>
        <v>28102.74</v>
      </c>
      <c r="N41" s="10">
        <f t="shared" si="12"/>
        <v>1.0000003558373156</v>
      </c>
      <c r="O41" s="9">
        <f t="shared" si="13"/>
        <v>-1.0000000002037268E-2</v>
      </c>
      <c r="P41" s="261"/>
      <c r="Q41" s="131"/>
      <c r="R41" s="75"/>
      <c r="S41" s="75"/>
      <c r="T41" s="75"/>
      <c r="U41" s="75"/>
      <c r="V41" s="75"/>
      <c r="W41" s="75"/>
      <c r="AE41" s="16"/>
    </row>
    <row r="42" spans="2:31" ht="54" customHeight="1">
      <c r="B42" s="127" t="s">
        <v>202</v>
      </c>
      <c r="C42" s="128" t="s">
        <v>63</v>
      </c>
      <c r="D42" s="129" t="s">
        <v>72</v>
      </c>
      <c r="E42" s="130" t="s">
        <v>185</v>
      </c>
      <c r="F42" s="183"/>
      <c r="G42" s="124" t="s">
        <v>17</v>
      </c>
      <c r="H42" s="125" t="s">
        <v>38</v>
      </c>
      <c r="I42" s="183"/>
      <c r="J42" s="109">
        <v>19764.95</v>
      </c>
      <c r="K42" s="60">
        <v>19764.95</v>
      </c>
      <c r="L42" s="122">
        <v>0</v>
      </c>
      <c r="M42" s="9">
        <f t="shared" si="11"/>
        <v>19764.95</v>
      </c>
      <c r="N42" s="10">
        <f t="shared" si="12"/>
        <v>1</v>
      </c>
      <c r="O42" s="9">
        <f t="shared" si="13"/>
        <v>0</v>
      </c>
      <c r="P42" s="261" t="s">
        <v>193</v>
      </c>
      <c r="Q42" s="131"/>
      <c r="R42" s="75"/>
      <c r="S42" s="75"/>
      <c r="T42" s="75"/>
      <c r="U42" s="75"/>
      <c r="V42" s="75"/>
      <c r="W42" s="75"/>
      <c r="AE42" s="16"/>
    </row>
    <row r="43" spans="2:31" ht="54" customHeight="1">
      <c r="B43" s="127" t="s">
        <v>203</v>
      </c>
      <c r="C43" s="128" t="s">
        <v>45</v>
      </c>
      <c r="D43" s="129" t="s">
        <v>35</v>
      </c>
      <c r="E43" s="130" t="s">
        <v>185</v>
      </c>
      <c r="F43" s="183"/>
      <c r="G43" s="124" t="s">
        <v>17</v>
      </c>
      <c r="H43" s="125" t="s">
        <v>38</v>
      </c>
      <c r="I43" s="183"/>
      <c r="J43" s="109">
        <v>4000</v>
      </c>
      <c r="K43" s="60">
        <v>4000</v>
      </c>
      <c r="L43" s="122">
        <v>0</v>
      </c>
      <c r="M43" s="9">
        <f t="shared" si="11"/>
        <v>4000</v>
      </c>
      <c r="N43" s="10">
        <f t="shared" si="12"/>
        <v>1</v>
      </c>
      <c r="O43" s="9">
        <f t="shared" si="13"/>
        <v>0</v>
      </c>
      <c r="P43" s="261" t="s">
        <v>193</v>
      </c>
      <c r="Q43" s="131"/>
      <c r="R43" s="75"/>
      <c r="S43" s="75"/>
      <c r="T43" s="75"/>
      <c r="U43" s="75"/>
      <c r="V43" s="75"/>
      <c r="W43" s="75"/>
      <c r="AE43" s="16"/>
    </row>
    <row r="44" spans="2:31" ht="72" customHeight="1">
      <c r="B44" s="127" t="s">
        <v>204</v>
      </c>
      <c r="C44" s="128" t="s">
        <v>45</v>
      </c>
      <c r="D44" s="129" t="s">
        <v>72</v>
      </c>
      <c r="E44" s="130" t="s">
        <v>185</v>
      </c>
      <c r="F44" s="183"/>
      <c r="G44" s="124" t="s">
        <v>17</v>
      </c>
      <c r="H44" s="125" t="s">
        <v>38</v>
      </c>
      <c r="I44" s="183"/>
      <c r="J44" s="109">
        <v>15661</v>
      </c>
      <c r="K44" s="60">
        <v>15661</v>
      </c>
      <c r="L44" s="122">
        <v>0</v>
      </c>
      <c r="M44" s="9">
        <f t="shared" si="11"/>
        <v>15661</v>
      </c>
      <c r="N44" s="10">
        <f t="shared" si="12"/>
        <v>1</v>
      </c>
      <c r="O44" s="9">
        <f t="shared" si="13"/>
        <v>0</v>
      </c>
      <c r="P44" s="261" t="s">
        <v>193</v>
      </c>
      <c r="Q44" s="131"/>
      <c r="R44" s="75"/>
      <c r="S44" s="75"/>
      <c r="T44" s="75"/>
      <c r="U44" s="75"/>
      <c r="V44" s="75"/>
      <c r="W44" s="75"/>
      <c r="AE44" s="16"/>
    </row>
    <row r="45" spans="2:31" ht="54" customHeight="1">
      <c r="B45" s="127" t="s">
        <v>205</v>
      </c>
      <c r="C45" s="128" t="s">
        <v>45</v>
      </c>
      <c r="D45" s="129" t="s">
        <v>77</v>
      </c>
      <c r="E45" s="130" t="s">
        <v>77</v>
      </c>
      <c r="F45" s="183"/>
      <c r="G45" s="124" t="s">
        <v>17</v>
      </c>
      <c r="H45" s="125" t="s">
        <v>38</v>
      </c>
      <c r="I45" s="183"/>
      <c r="J45" s="109">
        <v>68000</v>
      </c>
      <c r="K45" s="60">
        <v>68000</v>
      </c>
      <c r="L45" s="122">
        <v>0</v>
      </c>
      <c r="M45" s="9">
        <f t="shared" si="11"/>
        <v>68000</v>
      </c>
      <c r="N45" s="10">
        <f t="shared" si="12"/>
        <v>1</v>
      </c>
      <c r="O45" s="9">
        <f t="shared" si="13"/>
        <v>0</v>
      </c>
      <c r="P45" s="261"/>
      <c r="Q45" s="131"/>
      <c r="R45" s="75"/>
      <c r="S45" s="75"/>
      <c r="T45" s="75"/>
      <c r="U45" s="75"/>
      <c r="V45" s="75"/>
      <c r="W45" s="75"/>
      <c r="AE45" s="16"/>
    </row>
    <row r="46" spans="2:31" ht="54" customHeight="1">
      <c r="B46" s="127" t="s">
        <v>206</v>
      </c>
      <c r="C46" s="128" t="s">
        <v>63</v>
      </c>
      <c r="D46" s="129" t="s">
        <v>72</v>
      </c>
      <c r="E46" s="130" t="s">
        <v>185</v>
      </c>
      <c r="F46" s="183"/>
      <c r="G46" s="124" t="s">
        <v>17</v>
      </c>
      <c r="H46" s="125" t="s">
        <v>38</v>
      </c>
      <c r="I46" s="183"/>
      <c r="J46" s="109">
        <v>10498.75</v>
      </c>
      <c r="K46" s="60">
        <v>10498.75</v>
      </c>
      <c r="L46" s="122">
        <v>0</v>
      </c>
      <c r="M46" s="9">
        <f t="shared" si="11"/>
        <v>10498.75</v>
      </c>
      <c r="N46" s="10">
        <f t="shared" si="12"/>
        <v>1</v>
      </c>
      <c r="O46" s="9">
        <f t="shared" si="13"/>
        <v>0</v>
      </c>
      <c r="P46" s="261"/>
      <c r="Q46" s="131"/>
      <c r="R46" s="75"/>
      <c r="S46" s="75"/>
      <c r="T46" s="75"/>
      <c r="U46" s="75"/>
      <c r="V46" s="75"/>
      <c r="W46" s="75"/>
      <c r="AE46" s="16"/>
    </row>
    <row r="47" spans="2:31" ht="72" customHeight="1">
      <c r="B47" s="127" t="s">
        <v>207</v>
      </c>
      <c r="C47" s="128" t="s">
        <v>45</v>
      </c>
      <c r="D47" s="129" t="s">
        <v>35</v>
      </c>
      <c r="E47" s="130" t="s">
        <v>185</v>
      </c>
      <c r="F47" s="183"/>
      <c r="G47" s="124" t="s">
        <v>17</v>
      </c>
      <c r="H47" s="125" t="s">
        <v>38</v>
      </c>
      <c r="I47" s="183"/>
      <c r="J47" s="109">
        <v>34084.120000000003</v>
      </c>
      <c r="K47" s="60">
        <v>34084.120000000003</v>
      </c>
      <c r="L47" s="111">
        <v>0</v>
      </c>
      <c r="M47" s="9">
        <f t="shared" si="11"/>
        <v>34084.120000000003</v>
      </c>
      <c r="N47" s="10">
        <f t="shared" si="12"/>
        <v>1</v>
      </c>
      <c r="O47" s="9">
        <f t="shared" si="13"/>
        <v>0</v>
      </c>
      <c r="P47" s="261"/>
      <c r="Q47" s="131"/>
      <c r="R47" s="75"/>
      <c r="S47" s="75"/>
      <c r="T47" s="75"/>
      <c r="U47" s="75"/>
      <c r="V47" s="75"/>
      <c r="W47" s="75"/>
      <c r="AE47" s="16"/>
    </row>
    <row r="48" spans="2:31" ht="72" customHeight="1">
      <c r="B48" s="85" t="s">
        <v>208</v>
      </c>
      <c r="C48" s="54" t="s">
        <v>45</v>
      </c>
      <c r="D48" s="96" t="s">
        <v>35</v>
      </c>
      <c r="E48" s="97" t="s">
        <v>36</v>
      </c>
      <c r="F48" s="183"/>
      <c r="G48" s="103" t="s">
        <v>17</v>
      </c>
      <c r="H48" s="125" t="s">
        <v>38</v>
      </c>
      <c r="I48" s="183"/>
      <c r="J48" s="89">
        <v>40200</v>
      </c>
      <c r="K48" s="9">
        <v>40200</v>
      </c>
      <c r="L48" s="111">
        <v>0</v>
      </c>
      <c r="M48" s="9">
        <f t="shared" ref="M48:M74" si="20">K48-L48</f>
        <v>40200</v>
      </c>
      <c r="N48" s="10">
        <f t="shared" ref="N48:N74" si="21">K48/J48</f>
        <v>1</v>
      </c>
      <c r="O48" s="9">
        <f t="shared" si="2"/>
        <v>0</v>
      </c>
      <c r="P48" s="262"/>
      <c r="Q48" s="121" t="s">
        <v>209</v>
      </c>
      <c r="R48" s="76"/>
      <c r="S48" s="76"/>
      <c r="T48" s="76"/>
      <c r="U48" s="76"/>
      <c r="V48" s="76"/>
      <c r="W48" s="76"/>
      <c r="Z48" t="s">
        <v>50</v>
      </c>
      <c r="AE48" s="16"/>
    </row>
    <row r="49" spans="2:32" ht="54" customHeight="1">
      <c r="B49" s="85" t="s">
        <v>210</v>
      </c>
      <c r="C49" s="54" t="s">
        <v>211</v>
      </c>
      <c r="D49" s="96" t="s">
        <v>35</v>
      </c>
      <c r="E49" s="97" t="s">
        <v>36</v>
      </c>
      <c r="F49" s="183"/>
      <c r="G49" s="104" t="s">
        <v>17</v>
      </c>
      <c r="H49" s="125" t="s">
        <v>38</v>
      </c>
      <c r="I49" s="183"/>
      <c r="J49" s="89">
        <v>54626</v>
      </c>
      <c r="K49" s="9">
        <v>54626</v>
      </c>
      <c r="L49" s="111">
        <v>0</v>
      </c>
      <c r="M49" s="9">
        <f t="shared" si="20"/>
        <v>54626</v>
      </c>
      <c r="N49" s="112">
        <f t="shared" si="21"/>
        <v>1</v>
      </c>
      <c r="O49" s="9">
        <f t="shared" si="2"/>
        <v>0</v>
      </c>
      <c r="P49" s="352"/>
      <c r="Q49" s="121" t="s">
        <v>64</v>
      </c>
      <c r="R49" s="55"/>
      <c r="S49" s="55"/>
      <c r="T49" s="55"/>
      <c r="U49" s="55"/>
      <c r="V49" s="55"/>
      <c r="W49" s="55"/>
      <c r="Z49" t="s">
        <v>70</v>
      </c>
      <c r="AE49" s="16"/>
    </row>
    <row r="50" spans="2:32" ht="54" customHeight="1">
      <c r="B50" s="85" t="s">
        <v>212</v>
      </c>
      <c r="C50" s="54" t="s">
        <v>211</v>
      </c>
      <c r="D50" s="96" t="s">
        <v>35</v>
      </c>
      <c r="E50" s="97" t="s">
        <v>36</v>
      </c>
      <c r="F50" s="183"/>
      <c r="G50" s="103" t="s">
        <v>17</v>
      </c>
      <c r="H50" s="125" t="s">
        <v>38</v>
      </c>
      <c r="I50" s="183"/>
      <c r="J50" s="89">
        <v>56886</v>
      </c>
      <c r="K50" s="9">
        <v>56886</v>
      </c>
      <c r="L50" s="111">
        <v>0</v>
      </c>
      <c r="M50" s="9">
        <f t="shared" si="20"/>
        <v>56886</v>
      </c>
      <c r="N50" s="10">
        <f t="shared" si="21"/>
        <v>1</v>
      </c>
      <c r="O50" s="9">
        <f t="shared" si="2"/>
        <v>0</v>
      </c>
      <c r="P50" s="263"/>
      <c r="Q50" s="53" t="s">
        <v>38</v>
      </c>
      <c r="R50" s="75"/>
      <c r="S50" s="75"/>
      <c r="T50" s="75"/>
      <c r="U50" s="75"/>
      <c r="V50" s="75"/>
      <c r="W50" s="75"/>
      <c r="Z50" t="s">
        <v>17</v>
      </c>
      <c r="AE50" s="16"/>
    </row>
    <row r="51" spans="2:32" ht="72" customHeight="1">
      <c r="B51" s="85" t="s">
        <v>213</v>
      </c>
      <c r="C51" s="54" t="s">
        <v>63</v>
      </c>
      <c r="D51" s="96" t="s">
        <v>35</v>
      </c>
      <c r="E51" s="97" t="s">
        <v>185</v>
      </c>
      <c r="F51" s="183"/>
      <c r="G51" s="103" t="s">
        <v>17</v>
      </c>
      <c r="H51" s="125" t="s">
        <v>38</v>
      </c>
      <c r="I51" s="183"/>
      <c r="J51" s="89">
        <v>20500</v>
      </c>
      <c r="K51" s="9">
        <v>20500</v>
      </c>
      <c r="L51" s="111">
        <v>0</v>
      </c>
      <c r="M51" s="9">
        <f t="shared" si="20"/>
        <v>20500</v>
      </c>
      <c r="N51" s="10">
        <f t="shared" si="21"/>
        <v>1</v>
      </c>
      <c r="O51" s="9">
        <f t="shared" si="2"/>
        <v>0</v>
      </c>
      <c r="P51" s="353"/>
      <c r="Q51" s="53" t="s">
        <v>55</v>
      </c>
      <c r="R51" s="181"/>
      <c r="S51" s="181"/>
      <c r="T51" s="181"/>
      <c r="U51" s="181"/>
      <c r="V51" s="181"/>
      <c r="W51" s="181"/>
      <c r="Z51" t="s">
        <v>56</v>
      </c>
      <c r="AE51" s="16"/>
    </row>
    <row r="52" spans="2:32" ht="54" customHeight="1">
      <c r="B52" s="85" t="s">
        <v>214</v>
      </c>
      <c r="C52" s="54" t="s">
        <v>211</v>
      </c>
      <c r="D52" s="96" t="s">
        <v>35</v>
      </c>
      <c r="E52" s="97" t="s">
        <v>36</v>
      </c>
      <c r="F52" s="183"/>
      <c r="G52" s="103" t="s">
        <v>17</v>
      </c>
      <c r="H52" s="125" t="s">
        <v>38</v>
      </c>
      <c r="I52" s="183"/>
      <c r="J52" s="89">
        <v>40726</v>
      </c>
      <c r="K52" s="9">
        <v>40726</v>
      </c>
      <c r="L52" s="111">
        <v>0</v>
      </c>
      <c r="M52" s="9">
        <f t="shared" si="20"/>
        <v>40726</v>
      </c>
      <c r="N52" s="10">
        <f t="shared" si="21"/>
        <v>1</v>
      </c>
      <c r="O52" s="9">
        <f t="shared" si="2"/>
        <v>0</v>
      </c>
      <c r="P52" s="354"/>
      <c r="Q52" s="53" t="s">
        <v>64</v>
      </c>
      <c r="Z52" t="s">
        <v>67</v>
      </c>
      <c r="AE52" s="16"/>
    </row>
    <row r="53" spans="2:32" ht="72" customHeight="1">
      <c r="B53" s="85" t="s">
        <v>215</v>
      </c>
      <c r="C53" s="54" t="s">
        <v>63</v>
      </c>
      <c r="D53" s="96" t="s">
        <v>77</v>
      </c>
      <c r="E53" s="97" t="s">
        <v>185</v>
      </c>
      <c r="F53" s="183"/>
      <c r="G53" s="103" t="s">
        <v>17</v>
      </c>
      <c r="H53" s="125" t="s">
        <v>38</v>
      </c>
      <c r="I53" s="183"/>
      <c r="J53" s="89">
        <v>27774.2</v>
      </c>
      <c r="K53" s="9">
        <v>27774.2</v>
      </c>
      <c r="L53" s="111">
        <v>0</v>
      </c>
      <c r="M53" s="9">
        <f t="shared" si="20"/>
        <v>27774.2</v>
      </c>
      <c r="N53" s="10">
        <f t="shared" si="21"/>
        <v>1</v>
      </c>
      <c r="O53" s="9">
        <f t="shared" si="2"/>
        <v>0</v>
      </c>
      <c r="P53" s="114" t="s">
        <v>216</v>
      </c>
      <c r="Q53" s="53" t="s">
        <v>55</v>
      </c>
      <c r="R53" s="77"/>
      <c r="S53" s="77"/>
      <c r="T53" s="77"/>
      <c r="U53" s="77"/>
      <c r="V53" s="77"/>
      <c r="W53" s="77"/>
      <c r="Z53" t="s">
        <v>37</v>
      </c>
      <c r="AE53" s="16"/>
    </row>
    <row r="54" spans="2:32" ht="72" customHeight="1">
      <c r="B54" s="86" t="s">
        <v>217</v>
      </c>
      <c r="C54" s="54" t="s">
        <v>45</v>
      </c>
      <c r="D54" s="96" t="s">
        <v>35</v>
      </c>
      <c r="E54" s="97" t="s">
        <v>36</v>
      </c>
      <c r="F54" s="183"/>
      <c r="G54" s="104" t="s">
        <v>17</v>
      </c>
      <c r="H54" s="125" t="s">
        <v>38</v>
      </c>
      <c r="I54" s="183"/>
      <c r="J54" s="89">
        <v>47376</v>
      </c>
      <c r="K54" s="9">
        <v>52256</v>
      </c>
      <c r="L54" s="111">
        <v>0</v>
      </c>
      <c r="M54" s="9">
        <f t="shared" si="20"/>
        <v>52256</v>
      </c>
      <c r="N54" s="112">
        <f t="shared" si="21"/>
        <v>1.1030057413036136</v>
      </c>
      <c r="O54" s="9">
        <f t="shared" si="2"/>
        <v>-4880</v>
      </c>
      <c r="P54" s="114" t="s">
        <v>218</v>
      </c>
      <c r="Q54" s="53" t="s">
        <v>64</v>
      </c>
      <c r="R54" s="77"/>
      <c r="S54" s="77"/>
      <c r="T54" s="77"/>
      <c r="U54" s="77"/>
      <c r="V54" s="77"/>
      <c r="W54" s="77"/>
      <c r="Z54" t="s">
        <v>90</v>
      </c>
      <c r="AE54" s="17" t="s">
        <v>91</v>
      </c>
    </row>
    <row r="55" spans="2:32" ht="54" customHeight="1">
      <c r="B55" s="85" t="s">
        <v>219</v>
      </c>
      <c r="C55" s="54" t="s">
        <v>220</v>
      </c>
      <c r="D55" s="96" t="s">
        <v>35</v>
      </c>
      <c r="E55" s="98" t="s">
        <v>185</v>
      </c>
      <c r="F55" s="183"/>
      <c r="G55" s="105" t="s">
        <v>17</v>
      </c>
      <c r="H55" s="125" t="s">
        <v>38</v>
      </c>
      <c r="I55" s="183"/>
      <c r="J55" s="89">
        <v>11372.85</v>
      </c>
      <c r="K55" s="9">
        <v>11441</v>
      </c>
      <c r="L55" s="111">
        <v>0</v>
      </c>
      <c r="M55" s="9">
        <f t="shared" si="20"/>
        <v>11441</v>
      </c>
      <c r="N55" s="112">
        <f t="shared" si="21"/>
        <v>1.005992341409585</v>
      </c>
      <c r="O55" s="9">
        <f t="shared" si="2"/>
        <v>-68.149999999999636</v>
      </c>
      <c r="P55" s="154"/>
      <c r="Q55" s="121" t="s">
        <v>55</v>
      </c>
      <c r="R55" s="78"/>
      <c r="S55" s="78"/>
      <c r="T55" s="78"/>
      <c r="U55" s="78"/>
      <c r="V55" s="78"/>
      <c r="W55" s="78"/>
      <c r="AE55" s="16" t="s">
        <v>221</v>
      </c>
    </row>
    <row r="56" spans="2:32" ht="54.75" customHeight="1">
      <c r="B56" s="87" t="s">
        <v>222</v>
      </c>
      <c r="C56" s="54" t="s">
        <v>211</v>
      </c>
      <c r="D56" s="96" t="s">
        <v>35</v>
      </c>
      <c r="E56" s="98" t="s">
        <v>36</v>
      </c>
      <c r="F56" s="183"/>
      <c r="G56" s="103" t="s">
        <v>17</v>
      </c>
      <c r="H56" s="125" t="s">
        <v>38</v>
      </c>
      <c r="I56" s="183"/>
      <c r="J56" s="89">
        <v>59798</v>
      </c>
      <c r="K56" s="9">
        <v>59798</v>
      </c>
      <c r="L56" s="111">
        <v>0</v>
      </c>
      <c r="M56" s="9">
        <f t="shared" si="20"/>
        <v>59798</v>
      </c>
      <c r="N56" s="10">
        <f t="shared" si="21"/>
        <v>1</v>
      </c>
      <c r="O56" s="9">
        <f t="shared" si="2"/>
        <v>0</v>
      </c>
      <c r="P56" s="115"/>
      <c r="Q56" s="53" t="s">
        <v>64</v>
      </c>
      <c r="R56" s="79"/>
      <c r="S56" s="79"/>
      <c r="T56" s="79"/>
      <c r="U56" s="79"/>
      <c r="V56" s="79"/>
      <c r="W56" s="79"/>
      <c r="AE56" s="18" t="s">
        <v>86</v>
      </c>
    </row>
    <row r="57" spans="2:32" ht="22.5" customHeight="1">
      <c r="B57" s="86" t="s">
        <v>223</v>
      </c>
      <c r="C57" s="54" t="s">
        <v>45</v>
      </c>
      <c r="D57" s="96" t="s">
        <v>77</v>
      </c>
      <c r="E57" s="99" t="s">
        <v>36</v>
      </c>
      <c r="F57" s="183"/>
      <c r="G57" s="103" t="s">
        <v>17</v>
      </c>
      <c r="H57" s="125" t="s">
        <v>38</v>
      </c>
      <c r="I57" s="183"/>
      <c r="J57" s="90">
        <v>80194</v>
      </c>
      <c r="K57" s="11">
        <v>80194</v>
      </c>
      <c r="L57" s="111">
        <v>0</v>
      </c>
      <c r="M57" s="9">
        <f t="shared" si="20"/>
        <v>80194</v>
      </c>
      <c r="N57" s="10">
        <f t="shared" si="21"/>
        <v>1</v>
      </c>
      <c r="O57" s="9">
        <f t="shared" si="2"/>
        <v>0</v>
      </c>
      <c r="P57" s="116"/>
      <c r="Q57" s="121" t="s">
        <v>55</v>
      </c>
      <c r="R57" s="77"/>
      <c r="S57" s="77"/>
      <c r="T57" s="77"/>
      <c r="U57" s="77"/>
      <c r="V57" s="77"/>
      <c r="W57" s="77"/>
      <c r="AE57" s="19"/>
      <c r="AF57" s="24"/>
    </row>
    <row r="58" spans="2:32" ht="22.5" customHeight="1">
      <c r="B58" s="86" t="s">
        <v>224</v>
      </c>
      <c r="C58" s="100" t="s">
        <v>103</v>
      </c>
      <c r="D58" s="101" t="s">
        <v>85</v>
      </c>
      <c r="E58" s="99" t="s">
        <v>85</v>
      </c>
      <c r="F58" s="183"/>
      <c r="G58" s="103" t="s">
        <v>17</v>
      </c>
      <c r="H58" s="125" t="s">
        <v>38</v>
      </c>
      <c r="I58" s="183"/>
      <c r="J58" s="90">
        <v>16500</v>
      </c>
      <c r="K58" s="11">
        <v>16500</v>
      </c>
      <c r="L58" s="111">
        <v>0</v>
      </c>
      <c r="M58" s="9">
        <f t="shared" si="20"/>
        <v>16500</v>
      </c>
      <c r="N58" s="10">
        <f t="shared" si="21"/>
        <v>1</v>
      </c>
      <c r="O58" s="9">
        <f t="shared" si="2"/>
        <v>0</v>
      </c>
      <c r="P58" s="117"/>
      <c r="Q58" s="121" t="s">
        <v>55</v>
      </c>
      <c r="R58" s="77"/>
      <c r="S58" s="77"/>
      <c r="T58" s="77"/>
      <c r="U58" s="77"/>
      <c r="V58" s="77"/>
      <c r="W58" s="77"/>
      <c r="AE58" s="19"/>
      <c r="AF58" s="24"/>
    </row>
    <row r="59" spans="2:32" ht="22.5" customHeight="1">
      <c r="B59" s="86" t="s">
        <v>225</v>
      </c>
      <c r="C59" s="100" t="s">
        <v>63</v>
      </c>
      <c r="D59" s="101" t="s">
        <v>36</v>
      </c>
      <c r="E59" s="99" t="s">
        <v>36</v>
      </c>
      <c r="F59" s="183"/>
      <c r="G59" s="103" t="s">
        <v>17</v>
      </c>
      <c r="H59" s="125" t="s">
        <v>38</v>
      </c>
      <c r="I59" s="183"/>
      <c r="J59" s="90">
        <v>15380.91</v>
      </c>
      <c r="K59" s="11">
        <v>15380.91</v>
      </c>
      <c r="L59" s="111">
        <v>0</v>
      </c>
      <c r="M59" s="9">
        <f t="shared" si="20"/>
        <v>15380.91</v>
      </c>
      <c r="N59" s="10">
        <f t="shared" si="21"/>
        <v>1</v>
      </c>
      <c r="O59" s="9">
        <f t="shared" si="2"/>
        <v>0</v>
      </c>
      <c r="P59" s="118"/>
      <c r="Q59" s="121" t="s">
        <v>55</v>
      </c>
      <c r="R59" s="77"/>
      <c r="S59" s="77"/>
      <c r="T59" s="77"/>
      <c r="U59" s="77"/>
      <c r="V59" s="77"/>
      <c r="W59" s="77"/>
      <c r="X59" s="65"/>
      <c r="AE59" s="19"/>
      <c r="AF59" s="24"/>
    </row>
    <row r="60" spans="2:32" ht="22.5" customHeight="1">
      <c r="B60" s="86" t="s">
        <v>226</v>
      </c>
      <c r="C60" s="100" t="s">
        <v>45</v>
      </c>
      <c r="D60" s="101" t="s">
        <v>85</v>
      </c>
      <c r="E60" s="99" t="s">
        <v>85</v>
      </c>
      <c r="F60" s="183"/>
      <c r="G60" s="103" t="s">
        <v>17</v>
      </c>
      <c r="H60" s="125" t="s">
        <v>38</v>
      </c>
      <c r="I60" s="183"/>
      <c r="J60" s="90">
        <v>33374.19</v>
      </c>
      <c r="K60" s="11">
        <v>33374.19</v>
      </c>
      <c r="L60" s="111">
        <v>0</v>
      </c>
      <c r="M60" s="9">
        <f t="shared" si="20"/>
        <v>33374.19</v>
      </c>
      <c r="N60" s="10">
        <f t="shared" si="21"/>
        <v>1</v>
      </c>
      <c r="O60" s="9">
        <f t="shared" si="2"/>
        <v>0</v>
      </c>
      <c r="P60" s="119"/>
      <c r="Q60" s="121" t="s">
        <v>55</v>
      </c>
      <c r="R60" s="80"/>
      <c r="S60" s="80"/>
      <c r="T60" s="80"/>
      <c r="U60" s="80"/>
      <c r="V60" s="80"/>
      <c r="W60" s="80"/>
      <c r="AE60" s="19"/>
      <c r="AF60" s="24"/>
    </row>
    <row r="61" spans="2:32" ht="22.5" customHeight="1">
      <c r="B61" s="86" t="s">
        <v>227</v>
      </c>
      <c r="C61" s="100" t="s">
        <v>34</v>
      </c>
      <c r="D61" s="101" t="s">
        <v>89</v>
      </c>
      <c r="E61" s="99" t="s">
        <v>89</v>
      </c>
      <c r="F61" s="183"/>
      <c r="G61" s="103" t="s">
        <v>17</v>
      </c>
      <c r="H61" s="125" t="s">
        <v>38</v>
      </c>
      <c r="I61" s="183"/>
      <c r="J61" s="90">
        <v>13035</v>
      </c>
      <c r="K61" s="11">
        <v>13035</v>
      </c>
      <c r="L61" s="111">
        <v>0</v>
      </c>
      <c r="M61" s="9">
        <f t="shared" si="20"/>
        <v>13035</v>
      </c>
      <c r="N61" s="10">
        <f t="shared" si="21"/>
        <v>1</v>
      </c>
      <c r="O61" s="9">
        <f t="shared" si="2"/>
        <v>0</v>
      </c>
      <c r="P61" s="116"/>
      <c r="Q61" s="121" t="s">
        <v>55</v>
      </c>
      <c r="R61" s="77"/>
      <c r="S61" s="77"/>
      <c r="T61" s="77"/>
      <c r="U61" s="77"/>
      <c r="V61" s="77"/>
      <c r="W61" s="77"/>
      <c r="AE61" s="19"/>
      <c r="AF61" s="24"/>
    </row>
    <row r="62" spans="2:32" ht="22.5" customHeight="1">
      <c r="B62" s="85" t="s">
        <v>228</v>
      </c>
      <c r="C62" s="54" t="s">
        <v>103</v>
      </c>
      <c r="D62" s="96" t="s">
        <v>229</v>
      </c>
      <c r="E62" s="98" t="s">
        <v>229</v>
      </c>
      <c r="F62" s="183"/>
      <c r="G62" s="103" t="s">
        <v>17</v>
      </c>
      <c r="H62" s="125" t="s">
        <v>38</v>
      </c>
      <c r="I62" s="183"/>
      <c r="J62" s="89">
        <v>10824.25</v>
      </c>
      <c r="K62" s="9">
        <v>10824.25</v>
      </c>
      <c r="L62" s="111">
        <v>0</v>
      </c>
      <c r="M62" s="9">
        <f t="shared" si="20"/>
        <v>10824.25</v>
      </c>
      <c r="N62" s="10">
        <f t="shared" si="21"/>
        <v>1</v>
      </c>
      <c r="O62" s="9">
        <f t="shared" si="2"/>
        <v>0</v>
      </c>
      <c r="P62" s="120"/>
      <c r="Q62" s="53" t="s">
        <v>55</v>
      </c>
      <c r="R62" s="61"/>
      <c r="S62" s="61"/>
      <c r="T62" s="61"/>
      <c r="U62" s="61"/>
      <c r="V62" s="61"/>
      <c r="W62" s="61"/>
      <c r="AE62" s="57"/>
      <c r="AF62" s="55"/>
    </row>
    <row r="63" spans="2:32" ht="22.5" customHeight="1">
      <c r="B63" s="85" t="s">
        <v>230</v>
      </c>
      <c r="C63" s="54" t="s">
        <v>34</v>
      </c>
      <c r="D63" s="96" t="s">
        <v>229</v>
      </c>
      <c r="E63" s="98" t="s">
        <v>229</v>
      </c>
      <c r="F63" s="183"/>
      <c r="G63" s="104" t="s">
        <v>17</v>
      </c>
      <c r="H63" s="125" t="s">
        <v>38</v>
      </c>
      <c r="I63" s="183"/>
      <c r="J63" s="89">
        <v>40000</v>
      </c>
      <c r="K63" s="9">
        <v>40000</v>
      </c>
      <c r="L63" s="111">
        <v>0</v>
      </c>
      <c r="M63" s="9">
        <f t="shared" si="20"/>
        <v>40000</v>
      </c>
      <c r="N63" s="112">
        <f t="shared" si="21"/>
        <v>1</v>
      </c>
      <c r="O63" s="9">
        <f t="shared" si="2"/>
        <v>0</v>
      </c>
      <c r="P63" s="117"/>
      <c r="Q63" s="53" t="s">
        <v>64</v>
      </c>
      <c r="R63" s="77"/>
      <c r="S63" s="77"/>
      <c r="T63" s="77"/>
      <c r="U63" s="77"/>
      <c r="V63" s="77"/>
      <c r="W63" s="77"/>
      <c r="AE63" s="57"/>
      <c r="AF63" s="55"/>
    </row>
    <row r="64" spans="2:32" ht="72" customHeight="1">
      <c r="B64" s="86" t="s">
        <v>231</v>
      </c>
      <c r="C64" s="54" t="s">
        <v>63</v>
      </c>
      <c r="D64" s="96" t="s">
        <v>35</v>
      </c>
      <c r="E64" s="97" t="s">
        <v>36</v>
      </c>
      <c r="F64" s="183"/>
      <c r="G64" s="103" t="s">
        <v>17</v>
      </c>
      <c r="H64" s="125" t="s">
        <v>38</v>
      </c>
      <c r="I64" s="183"/>
      <c r="J64" s="89">
        <v>17781</v>
      </c>
      <c r="K64" s="9">
        <v>17781</v>
      </c>
      <c r="L64" s="111">
        <v>0</v>
      </c>
      <c r="M64" s="9">
        <f t="shared" si="20"/>
        <v>17781</v>
      </c>
      <c r="N64" s="10">
        <f t="shared" si="21"/>
        <v>1</v>
      </c>
      <c r="O64" s="9">
        <f t="shared" si="2"/>
        <v>0</v>
      </c>
      <c r="P64" s="117"/>
      <c r="Q64" s="53" t="s">
        <v>64</v>
      </c>
      <c r="R64" s="77"/>
      <c r="S64" s="77"/>
      <c r="T64" s="77"/>
      <c r="U64" s="77"/>
      <c r="V64" s="77"/>
      <c r="W64" s="77"/>
      <c r="AE64" s="55" t="s">
        <v>65</v>
      </c>
    </row>
    <row r="65" spans="2:32" ht="36" customHeight="1">
      <c r="B65" s="86" t="s">
        <v>232</v>
      </c>
      <c r="C65" s="54" t="s">
        <v>63</v>
      </c>
      <c r="D65" s="96" t="s">
        <v>233</v>
      </c>
      <c r="E65" s="97" t="s">
        <v>233</v>
      </c>
      <c r="F65" s="183"/>
      <c r="G65" s="103" t="s">
        <v>17</v>
      </c>
      <c r="H65" s="125" t="s">
        <v>38</v>
      </c>
      <c r="I65" s="183"/>
      <c r="J65" s="89">
        <v>17479</v>
      </c>
      <c r="K65" s="9">
        <v>17479</v>
      </c>
      <c r="L65" s="111">
        <v>0</v>
      </c>
      <c r="M65" s="9">
        <f t="shared" si="20"/>
        <v>17479</v>
      </c>
      <c r="N65" s="10">
        <f t="shared" si="21"/>
        <v>1</v>
      </c>
      <c r="O65" s="9">
        <f t="shared" si="2"/>
        <v>0</v>
      </c>
      <c r="P65" s="117"/>
      <c r="Q65" s="53" t="s">
        <v>55</v>
      </c>
      <c r="R65" s="77"/>
      <c r="S65" s="77"/>
      <c r="T65" s="77"/>
      <c r="U65" s="77"/>
      <c r="V65" s="77"/>
      <c r="W65" s="77"/>
      <c r="AE65" s="55"/>
    </row>
    <row r="66" spans="2:32" ht="36" customHeight="1">
      <c r="B66" s="88" t="s">
        <v>234</v>
      </c>
      <c r="C66" s="54" t="s">
        <v>63</v>
      </c>
      <c r="D66" s="96" t="s">
        <v>233</v>
      </c>
      <c r="E66" s="97" t="s">
        <v>233</v>
      </c>
      <c r="F66" s="183"/>
      <c r="G66" s="103" t="s">
        <v>17</v>
      </c>
      <c r="H66" s="125" t="s">
        <v>38</v>
      </c>
      <c r="I66" s="183"/>
      <c r="J66" s="89">
        <v>17479</v>
      </c>
      <c r="K66" s="9">
        <v>17479</v>
      </c>
      <c r="L66" s="111">
        <v>0</v>
      </c>
      <c r="M66" s="9">
        <f t="shared" si="20"/>
        <v>17479</v>
      </c>
      <c r="N66" s="10">
        <f t="shared" si="21"/>
        <v>1</v>
      </c>
      <c r="O66" s="9">
        <f t="shared" si="2"/>
        <v>0</v>
      </c>
      <c r="P66" s="57"/>
      <c r="Q66" s="53" t="s">
        <v>64</v>
      </c>
      <c r="Z66" t="s">
        <v>97</v>
      </c>
      <c r="AE66" s="56" t="s">
        <v>98</v>
      </c>
    </row>
    <row r="67" spans="2:32" ht="54" customHeight="1">
      <c r="B67" s="85" t="s">
        <v>235</v>
      </c>
      <c r="C67" s="54" t="s">
        <v>236</v>
      </c>
      <c r="D67" s="96" t="s">
        <v>237</v>
      </c>
      <c r="E67" s="97" t="s">
        <v>42</v>
      </c>
      <c r="F67" s="183"/>
      <c r="G67" s="103" t="s">
        <v>17</v>
      </c>
      <c r="H67" s="125" t="s">
        <v>38</v>
      </c>
      <c r="I67" s="183"/>
      <c r="J67" s="89">
        <v>37393</v>
      </c>
      <c r="K67" s="9">
        <v>37393</v>
      </c>
      <c r="L67" s="111">
        <v>12679.38</v>
      </c>
      <c r="M67" s="9">
        <f t="shared" si="20"/>
        <v>24713.620000000003</v>
      </c>
      <c r="N67" s="10">
        <f t="shared" si="21"/>
        <v>1</v>
      </c>
      <c r="O67" s="9">
        <f t="shared" si="2"/>
        <v>0</v>
      </c>
      <c r="P67" s="57"/>
      <c r="Q67" s="53" t="s">
        <v>64</v>
      </c>
      <c r="Z67" t="s">
        <v>37</v>
      </c>
      <c r="AE67" s="58" t="s">
        <v>101</v>
      </c>
    </row>
    <row r="68" spans="2:32" ht="63" customHeight="1">
      <c r="B68" s="85" t="s">
        <v>238</v>
      </c>
      <c r="C68" s="54" t="s">
        <v>34</v>
      </c>
      <c r="D68" s="96" t="s">
        <v>36</v>
      </c>
      <c r="E68" s="199" t="s">
        <v>85</v>
      </c>
      <c r="F68" s="183"/>
      <c r="G68" s="273" t="s">
        <v>17</v>
      </c>
      <c r="H68" s="102" t="s">
        <v>38</v>
      </c>
      <c r="I68" s="183"/>
      <c r="J68" s="206">
        <v>13650</v>
      </c>
      <c r="K68" s="9">
        <v>14877.51</v>
      </c>
      <c r="L68" s="111">
        <v>0</v>
      </c>
      <c r="M68" s="9">
        <f t="shared" si="20"/>
        <v>14877.51</v>
      </c>
      <c r="N68" s="10">
        <f t="shared" si="21"/>
        <v>1.0899274725274726</v>
      </c>
      <c r="O68" s="9">
        <f t="shared" si="2"/>
        <v>-1227.5100000000002</v>
      </c>
      <c r="P68" s="268"/>
      <c r="Q68" s="53" t="s">
        <v>64</v>
      </c>
      <c r="Z68" t="s">
        <v>104</v>
      </c>
      <c r="AE68" s="58" t="s">
        <v>105</v>
      </c>
      <c r="AF68" s="57"/>
    </row>
    <row r="69" spans="2:32" ht="63" customHeight="1">
      <c r="B69" s="86"/>
      <c r="C69" s="54"/>
      <c r="D69" s="96"/>
      <c r="E69" s="97"/>
      <c r="F69" s="183"/>
      <c r="G69" s="103"/>
      <c r="H69" s="102"/>
      <c r="I69" s="183"/>
      <c r="J69" s="89"/>
      <c r="K69" s="9"/>
      <c r="L69" s="111"/>
      <c r="M69" s="9">
        <f t="shared" si="20"/>
        <v>0</v>
      </c>
      <c r="N69" s="10" t="e">
        <f t="shared" si="21"/>
        <v>#DIV/0!</v>
      </c>
      <c r="O69" s="9">
        <f t="shared" si="2"/>
        <v>0</v>
      </c>
      <c r="P69" s="57"/>
      <c r="Q69" s="53"/>
      <c r="AE69" s="59" t="s">
        <v>107</v>
      </c>
    </row>
    <row r="70" spans="2:32" ht="22.5" customHeight="1">
      <c r="B70" s="86"/>
      <c r="C70" s="100"/>
      <c r="D70" s="101"/>
      <c r="E70" s="99"/>
      <c r="F70" s="183"/>
      <c r="G70" s="103"/>
      <c r="H70" s="102"/>
      <c r="I70" s="183"/>
      <c r="J70" s="90"/>
      <c r="K70" s="11"/>
      <c r="L70" s="111"/>
      <c r="M70" s="9">
        <f t="shared" si="20"/>
        <v>0</v>
      </c>
      <c r="N70" s="10" t="e">
        <f t="shared" si="21"/>
        <v>#DIV/0!</v>
      </c>
      <c r="O70" s="9">
        <f t="shared" si="2"/>
        <v>0</v>
      </c>
      <c r="P70" s="120"/>
      <c r="Q70" s="53" t="s">
        <v>55</v>
      </c>
      <c r="R70" s="61"/>
      <c r="S70" s="61"/>
      <c r="T70" s="61"/>
      <c r="U70" s="61"/>
      <c r="V70" s="61"/>
      <c r="W70" s="61"/>
      <c r="AE70" s="19"/>
      <c r="AF70" s="24"/>
    </row>
    <row r="71" spans="2:32" ht="72" customHeight="1">
      <c r="B71" s="86"/>
      <c r="C71" s="54"/>
      <c r="D71" s="96"/>
      <c r="E71" s="97"/>
      <c r="F71" s="183"/>
      <c r="G71" s="103"/>
      <c r="H71" s="102"/>
      <c r="I71" s="183"/>
      <c r="J71" s="89"/>
      <c r="K71" s="9"/>
      <c r="L71" s="111"/>
      <c r="M71" s="9">
        <f t="shared" si="20"/>
        <v>0</v>
      </c>
      <c r="N71" s="10" t="e">
        <f t="shared" si="21"/>
        <v>#DIV/0!</v>
      </c>
      <c r="O71" s="9">
        <f t="shared" si="2"/>
        <v>0</v>
      </c>
      <c r="P71" s="57"/>
      <c r="Q71" s="53"/>
      <c r="AE71" s="17" t="s">
        <v>110</v>
      </c>
    </row>
    <row r="72" spans="2:32" ht="18" customHeight="1">
      <c r="B72" s="86"/>
      <c r="C72" s="54"/>
      <c r="D72" s="96"/>
      <c r="E72" s="97"/>
      <c r="F72" s="183"/>
      <c r="G72" s="103"/>
      <c r="H72" s="102"/>
      <c r="I72" s="183"/>
      <c r="J72" s="89"/>
      <c r="K72" s="9"/>
      <c r="L72" s="111"/>
      <c r="M72" s="9">
        <f t="shared" si="20"/>
        <v>0</v>
      </c>
      <c r="N72" s="10" t="e">
        <f t="shared" si="21"/>
        <v>#DIV/0!</v>
      </c>
      <c r="O72" s="9">
        <f t="shared" si="2"/>
        <v>0</v>
      </c>
      <c r="P72" s="57"/>
      <c r="Q72" s="53"/>
      <c r="AE72" s="17"/>
    </row>
    <row r="73" spans="2:32" ht="72" customHeight="1">
      <c r="B73" s="86"/>
      <c r="C73" s="54"/>
      <c r="D73" s="96"/>
      <c r="E73" s="97"/>
      <c r="F73" s="183"/>
      <c r="G73" s="103"/>
      <c r="H73" s="102"/>
      <c r="I73" s="183"/>
      <c r="J73" s="89"/>
      <c r="K73" s="9"/>
      <c r="L73" s="111"/>
      <c r="M73" s="9">
        <f t="shared" si="20"/>
        <v>0</v>
      </c>
      <c r="N73" s="10" t="e">
        <f t="shared" si="21"/>
        <v>#DIV/0!</v>
      </c>
      <c r="O73" s="9">
        <f t="shared" si="2"/>
        <v>0</v>
      </c>
      <c r="P73" s="57"/>
      <c r="Q73" s="53"/>
      <c r="AE73" s="19" t="s">
        <v>114</v>
      </c>
    </row>
    <row r="74" spans="2:32" ht="54" customHeight="1">
      <c r="B74" s="88"/>
      <c r="C74" s="54"/>
      <c r="D74" s="96"/>
      <c r="E74" s="97"/>
      <c r="F74" s="197"/>
      <c r="G74" s="103"/>
      <c r="H74" s="102"/>
      <c r="I74" s="197"/>
      <c r="J74" s="267"/>
      <c r="K74" s="255"/>
      <c r="L74" s="260"/>
      <c r="M74" s="255">
        <f t="shared" si="20"/>
        <v>0</v>
      </c>
      <c r="N74" s="256" t="e">
        <f t="shared" si="21"/>
        <v>#DIV/0!</v>
      </c>
      <c r="O74" s="255">
        <f t="shared" si="2"/>
        <v>0</v>
      </c>
      <c r="P74" s="57"/>
      <c r="Q74" s="53"/>
      <c r="AE74" s="15" t="s">
        <v>117</v>
      </c>
    </row>
    <row r="75" spans="2:32" ht="15.75">
      <c r="J75" s="338">
        <f>SUM(J8:J74)</f>
        <v>1601686.5799999996</v>
      </c>
      <c r="K75" s="338">
        <f>SUM(K8:K74)</f>
        <v>1452521.8099999996</v>
      </c>
      <c r="L75" s="339">
        <f>SUM(L37,L32,L31,L21)</f>
        <v>1720</v>
      </c>
      <c r="M75" s="338">
        <f>SUM(M8:M74)</f>
        <v>1346178.46</v>
      </c>
      <c r="N75" s="340"/>
      <c r="O75" s="338">
        <f>SUM(O8:O74)</f>
        <v>149164.76999999999</v>
      </c>
    </row>
    <row r="76" spans="2:32">
      <c r="J76" s="22"/>
      <c r="K76" s="22"/>
      <c r="L76" s="22"/>
      <c r="M76" s="22"/>
      <c r="O76" s="22"/>
    </row>
    <row r="77" spans="2:32">
      <c r="J77" s="22"/>
      <c r="K77" s="22"/>
      <c r="L77" s="22"/>
      <c r="M77" s="22"/>
      <c r="O77" s="22"/>
    </row>
    <row r="78" spans="2:32" ht="18">
      <c r="J78" s="269"/>
      <c r="K78" s="269"/>
      <c r="L78" s="22"/>
      <c r="M78" s="22"/>
      <c r="O78" s="22"/>
    </row>
    <row r="79" spans="2:32">
      <c r="J79" s="22"/>
      <c r="K79" s="22"/>
      <c r="L79" s="22"/>
      <c r="M79" s="22"/>
      <c r="O79" s="22"/>
    </row>
    <row r="80" spans="2:32">
      <c r="J80" s="22"/>
      <c r="K80" s="22"/>
      <c r="L80" s="22"/>
      <c r="M80" s="22"/>
      <c r="O80" s="22"/>
    </row>
    <row r="81" spans="10:15">
      <c r="J81" s="22"/>
      <c r="K81" s="22"/>
      <c r="L81" s="22"/>
      <c r="M81" s="22"/>
      <c r="O81" s="22"/>
    </row>
    <row r="82" spans="10:15">
      <c r="J82" s="22"/>
      <c r="K82" s="22"/>
      <c r="L82" s="22"/>
      <c r="M82" s="22"/>
      <c r="O82" s="22"/>
    </row>
    <row r="83" spans="10:15">
      <c r="J83" s="22"/>
      <c r="K83" s="22"/>
      <c r="L83" s="22"/>
      <c r="M83" s="22"/>
      <c r="O83" s="22"/>
    </row>
    <row r="84" spans="10:15">
      <c r="J84" s="22"/>
      <c r="K84" s="22"/>
      <c r="L84" s="22"/>
      <c r="M84" s="22"/>
      <c r="O84" s="22"/>
    </row>
    <row r="85" spans="10:15">
      <c r="J85" s="22"/>
      <c r="K85" s="22"/>
      <c r="L85" s="22"/>
      <c r="M85" s="22"/>
      <c r="O85" s="22"/>
    </row>
    <row r="86" spans="10:15">
      <c r="J86" s="22"/>
      <c r="K86" s="22"/>
      <c r="L86" s="22"/>
      <c r="M86" s="22"/>
      <c r="O86" s="22"/>
    </row>
    <row r="87" spans="10:15">
      <c r="J87" s="22"/>
      <c r="K87" s="22"/>
      <c r="L87" s="22"/>
      <c r="M87" s="22"/>
      <c r="O87" s="22"/>
    </row>
    <row r="88" spans="10:15">
      <c r="J88" s="22"/>
      <c r="K88" s="22"/>
      <c r="L88" s="22"/>
      <c r="M88" s="22"/>
      <c r="O88" s="22"/>
    </row>
    <row r="89" spans="10:15">
      <c r="J89" s="22"/>
      <c r="K89" s="22"/>
      <c r="L89" s="22"/>
      <c r="M89" s="22"/>
      <c r="O89" s="22"/>
    </row>
    <row r="90" spans="10:15">
      <c r="J90" s="22"/>
      <c r="K90" s="22"/>
      <c r="L90" s="22"/>
      <c r="M90" s="22"/>
      <c r="O90" s="22"/>
    </row>
    <row r="91" spans="10:15">
      <c r="J91" s="22"/>
      <c r="K91" s="22"/>
      <c r="L91" s="22"/>
      <c r="M91" s="22"/>
      <c r="O91" s="22"/>
    </row>
    <row r="92" spans="10:15">
      <c r="J92" s="22"/>
      <c r="K92" s="22"/>
      <c r="L92" s="22"/>
      <c r="M92" s="22"/>
      <c r="O92" s="22"/>
    </row>
    <row r="93" spans="10:15">
      <c r="J93" s="22"/>
      <c r="K93" s="22"/>
      <c r="L93" s="22"/>
      <c r="M93" s="22"/>
      <c r="O93" s="22"/>
    </row>
    <row r="94" spans="10:15">
      <c r="J94" s="22"/>
      <c r="K94" s="22"/>
      <c r="L94" s="22"/>
      <c r="M94" s="22"/>
      <c r="O94" s="22"/>
    </row>
    <row r="95" spans="10:15">
      <c r="J95" s="22"/>
      <c r="K95" s="22"/>
      <c r="L95" s="22"/>
      <c r="M95" s="22"/>
      <c r="O95" s="22"/>
    </row>
    <row r="96" spans="10:15">
      <c r="J96" s="22"/>
      <c r="K96" s="22"/>
      <c r="L96" s="22"/>
      <c r="M96" s="22"/>
      <c r="O96" s="22"/>
    </row>
    <row r="97" spans="2:15">
      <c r="J97" s="22"/>
      <c r="K97" s="22"/>
      <c r="L97" s="22"/>
      <c r="M97" s="22"/>
      <c r="O97" s="22"/>
    </row>
    <row r="98" spans="2:15">
      <c r="J98" s="22"/>
      <c r="K98" s="22"/>
      <c r="L98" s="22"/>
      <c r="M98" s="22"/>
      <c r="O98" s="22"/>
    </row>
    <row r="99" spans="2:15">
      <c r="J99" s="22"/>
      <c r="K99" s="22"/>
      <c r="L99" s="22"/>
      <c r="M99" s="22"/>
      <c r="O99" s="22"/>
    </row>
    <row r="100" spans="2:15">
      <c r="J100" s="22"/>
      <c r="K100" s="22"/>
      <c r="L100" s="22"/>
      <c r="M100" s="22"/>
      <c r="O100" s="22"/>
    </row>
    <row r="101" spans="2:15">
      <c r="J101" s="22"/>
      <c r="K101" s="22"/>
      <c r="L101" s="22"/>
      <c r="M101" s="22"/>
      <c r="O101" s="22"/>
    </row>
    <row r="102" spans="2:15">
      <c r="J102" s="22"/>
      <c r="K102" s="22"/>
      <c r="L102" s="22"/>
      <c r="M102" s="22"/>
      <c r="O102" s="22"/>
    </row>
    <row r="103" spans="2:15">
      <c r="J103" s="22"/>
      <c r="K103" s="22"/>
      <c r="L103" s="22"/>
      <c r="M103" s="22"/>
      <c r="O103" s="22"/>
    </row>
    <row r="104" spans="2:15">
      <c r="J104" s="22"/>
      <c r="K104" s="22"/>
      <c r="L104" s="22"/>
      <c r="M104" s="22"/>
      <c r="O104" s="22"/>
    </row>
    <row r="105" spans="2:15">
      <c r="J105" s="22"/>
      <c r="K105" s="22"/>
      <c r="L105" s="22"/>
      <c r="M105" s="22"/>
      <c r="O105" s="22"/>
    </row>
    <row r="106" spans="2:15">
      <c r="J106" s="22"/>
      <c r="K106" s="22"/>
      <c r="L106" s="22"/>
      <c r="M106" s="22"/>
      <c r="O106" s="22"/>
    </row>
    <row r="107" spans="2:15">
      <c r="J107" s="22"/>
      <c r="K107" s="22"/>
      <c r="L107" s="22"/>
      <c r="M107" s="22"/>
      <c r="O107" s="22"/>
    </row>
    <row r="109" spans="2:15">
      <c r="L109" s="12"/>
      <c r="M109" s="12"/>
    </row>
    <row r="110" spans="2:15">
      <c r="B110" s="23"/>
      <c r="C110" s="24"/>
    </row>
    <row r="111" spans="2:15">
      <c r="B111" s="23"/>
      <c r="C111" s="24"/>
    </row>
    <row r="112" spans="2:15">
      <c r="B112" s="23"/>
      <c r="C112" s="24"/>
    </row>
    <row r="113" spans="2:10" ht="15.75" customHeight="1">
      <c r="B113" s="23"/>
      <c r="C113" s="24"/>
    </row>
    <row r="114" spans="2:10" ht="26.25" customHeight="1">
      <c r="B114" s="134" t="s">
        <v>130</v>
      </c>
      <c r="C114" s="133" t="s">
        <v>2</v>
      </c>
      <c r="D114" s="132" t="s">
        <v>3</v>
      </c>
      <c r="E114" s="132" t="s">
        <v>4</v>
      </c>
      <c r="G114" s="106" t="s">
        <v>119</v>
      </c>
      <c r="H114" s="132" t="s">
        <v>120</v>
      </c>
      <c r="J114" s="107" t="s">
        <v>121</v>
      </c>
    </row>
    <row r="115" spans="2:10">
      <c r="B115" s="23" t="s">
        <v>122</v>
      </c>
      <c r="C115" s="135">
        <f>COUNTIF($G$8:$G$74,"In Process")</f>
        <v>8</v>
      </c>
      <c r="D115" s="138">
        <f>SUMIF($G$8:$G$74,"In Process",J$8:J$74)</f>
        <v>267672.83</v>
      </c>
      <c r="E115" s="138">
        <f>SUMIF($G$8:$G$74,"In Process",K$8:K$74)</f>
        <v>145082.72</v>
      </c>
      <c r="F115" s="108"/>
      <c r="G115" s="138">
        <f>SUMIF($G$8:$G$74,"In Process",L$8:L$74)</f>
        <v>38053.589999999997</v>
      </c>
      <c r="H115" s="138">
        <f>SUMIF($G$8:$G$74,"In Process",M$8:M$74)</f>
        <v>107029.13</v>
      </c>
      <c r="J115" s="138">
        <f>SUMIF($G$8:$G$74,"In Process",O$8:O$74)</f>
        <v>122590.10999999999</v>
      </c>
    </row>
    <row r="116" spans="2:10">
      <c r="B116" s="23" t="s">
        <v>123</v>
      </c>
      <c r="C116" s="135">
        <f>COUNTIF($G$8:$G$74,"Delayed")</f>
        <v>1</v>
      </c>
      <c r="D116" s="138">
        <f>SUMIF($G$8:$G$74,"Delayed",J$8:J$74)</f>
        <v>10085</v>
      </c>
      <c r="E116" s="138">
        <f>SUMIF($G$8:$G$74,"Delayed",K$8:K$74)</f>
        <v>0</v>
      </c>
      <c r="F116" s="108"/>
      <c r="G116" s="138">
        <f>SUMIF($G$8:$G$74,"Delayed",L$8:L$74)</f>
        <v>0</v>
      </c>
      <c r="H116" s="138">
        <f>SUMIF($G$8:$G$74,"Delayed",M$8:M$74)</f>
        <v>0</v>
      </c>
      <c r="J116" s="138">
        <f>SUMIF($G$8:$G$74,"Delayed",O$8:O$74)</f>
        <v>10085</v>
      </c>
    </row>
    <row r="117" spans="2:10">
      <c r="B117" s="23" t="s">
        <v>124</v>
      </c>
      <c r="C117" s="135">
        <f>COUNTIF($G$8:$G$74,"Pending")</f>
        <v>4</v>
      </c>
      <c r="D117" s="138">
        <f>SUMIF($G$8:$G$74,"Pending",J$8:J$74)</f>
        <v>39134.15</v>
      </c>
      <c r="E117" s="138">
        <f>SUMIF($G$8:$G$74,"Pending",K$8:K$74)</f>
        <v>23210.92</v>
      </c>
      <c r="F117" s="108"/>
      <c r="G117" s="138">
        <f>SUMIF($G$8:$G$74,"Pending",L$8:L$74)</f>
        <v>1720</v>
      </c>
      <c r="H117" s="138">
        <f>SUMIF($G$8:$G$74,"Pending",M$8:M$74)</f>
        <v>21490.92</v>
      </c>
      <c r="J117" s="138">
        <f>SUMIF($G$8:$G$74,"Pending",O$8:O$74)</f>
        <v>15923.230000000001</v>
      </c>
    </row>
    <row r="118" spans="2:10">
      <c r="B118" s="23" t="s">
        <v>125</v>
      </c>
      <c r="C118" s="135">
        <f>COUNTIF($G$8:$G$74,"No Contract")</f>
        <v>0</v>
      </c>
      <c r="D118" s="138">
        <f>SUMIF($G$8:$G$74,"No Contract",J$8:J$74)</f>
        <v>0</v>
      </c>
      <c r="E118" s="138">
        <f>SUMIF($G$8:$G$74,"No Contract",K$8:K$74)</f>
        <v>0</v>
      </c>
      <c r="F118" s="108"/>
      <c r="G118" s="138">
        <f>SUMIF($G$8:$G$74,"No Contract",L$8:L$74)</f>
        <v>0</v>
      </c>
      <c r="H118" s="138">
        <f>SUMIF($G$8:$G$74,"No Contract",M$8:M$74)</f>
        <v>0</v>
      </c>
      <c r="J118" s="138">
        <f>SUMIF($G$8:$G$74,"No Contract",O$8:O$74)</f>
        <v>0</v>
      </c>
    </row>
    <row r="119" spans="2:10">
      <c r="B119" s="23" t="s">
        <v>126</v>
      </c>
      <c r="C119" s="136">
        <f>COUNTIF($G$8:$G$74,"Litigation")</f>
        <v>0</v>
      </c>
      <c r="D119" s="139">
        <f>SUMIF($G$8:$G$74,"Litigation",J$8:J$74)</f>
        <v>0</v>
      </c>
      <c r="E119" s="139">
        <f>SUMIF($G$8:$G$74,"Litigation",K$8:K$74)</f>
        <v>0</v>
      </c>
      <c r="F119" s="108"/>
      <c r="G119" s="139">
        <f>SUMIF($G$8:$G$74,"Litigation",L$8:L$74)</f>
        <v>0</v>
      </c>
      <c r="H119" s="139">
        <f>SUMIF($G$8:$G$74,"Litigation",M$8:M$74)</f>
        <v>0</v>
      </c>
      <c r="J119" s="139">
        <f>SUMIF($G$8:$G$74,"Litigation",O$8:O$74)</f>
        <v>0</v>
      </c>
    </row>
    <row r="120" spans="2:10">
      <c r="B120" s="23" t="s">
        <v>127</v>
      </c>
      <c r="C120" s="135">
        <f>SUM(C115:C119)</f>
        <v>13</v>
      </c>
      <c r="D120" s="140">
        <f t="shared" ref="D120:E120" si="22">SUM(D115:D119)</f>
        <v>316891.98000000004</v>
      </c>
      <c r="E120" s="140">
        <f t="shared" si="22"/>
        <v>168293.64</v>
      </c>
      <c r="G120" s="140">
        <f t="shared" ref="G120:J120" si="23">SUM(G115:G119)</f>
        <v>39773.589999999997</v>
      </c>
      <c r="H120" s="140">
        <f t="shared" si="23"/>
        <v>128520.05</v>
      </c>
      <c r="J120" s="140">
        <f t="shared" si="23"/>
        <v>148598.34</v>
      </c>
    </row>
    <row r="121" spans="2:10">
      <c r="C121" s="135"/>
      <c r="G121" s="23"/>
    </row>
    <row r="122" spans="2:10" ht="15.75" customHeight="1">
      <c r="B122" s="23" t="s">
        <v>128</v>
      </c>
      <c r="C122" s="137">
        <f>COUNTIF(G8:G74,"Completed")</f>
        <v>48</v>
      </c>
      <c r="D122" s="141">
        <f>SUMIF($G$8:$G$74,"Completed",J$8:J$74)</f>
        <v>1284794.5999999999</v>
      </c>
      <c r="E122" s="141">
        <f>SUMIF($G$8:$G$74,"Completed",K$8:K$74)</f>
        <v>1284228.17</v>
      </c>
      <c r="F122" s="108"/>
      <c r="G122" s="141">
        <f>SUMIF($G$8:$G$74,"Completed",L$8:L$74)</f>
        <v>66569.759999999995</v>
      </c>
      <c r="H122" s="141">
        <f>SUMIF($G$8:$G$74,"Completed",M$8:M$74)</f>
        <v>1217658.4100000001</v>
      </c>
      <c r="J122" s="141">
        <f>SUMIF($G$8:$G$74,"Completed",O$8:O$74)</f>
        <v>566.42999999999665</v>
      </c>
    </row>
    <row r="123" spans="2:10">
      <c r="B123" s="23" t="s">
        <v>129</v>
      </c>
      <c r="C123" s="135">
        <f>C120+C122</f>
        <v>61</v>
      </c>
      <c r="D123" s="142">
        <f t="shared" ref="D123:E123" si="24">D120+D122</f>
        <v>1601686.5799999998</v>
      </c>
      <c r="E123" s="142">
        <f t="shared" si="24"/>
        <v>1452521.81</v>
      </c>
      <c r="F123" s="135"/>
      <c r="G123" s="142">
        <f t="shared" ref="G123:J123" si="25">G120+G122</f>
        <v>106343.34999999999</v>
      </c>
      <c r="H123" s="142">
        <f t="shared" si="25"/>
        <v>1346178.4600000002</v>
      </c>
      <c r="I123" s="135"/>
      <c r="J123" s="142">
        <f t="shared" si="25"/>
        <v>149164.76999999999</v>
      </c>
    </row>
    <row r="124" spans="2:10" ht="15.75">
      <c r="G124" s="25"/>
    </row>
    <row r="125" spans="2:10">
      <c r="G125" s="23"/>
    </row>
    <row r="126" spans="2:10">
      <c r="G126" s="23"/>
      <c r="H126" s="24"/>
    </row>
    <row r="127" spans="2:10">
      <c r="G127" s="23"/>
      <c r="H127" s="24"/>
    </row>
    <row r="128" spans="2:10">
      <c r="G128" s="23"/>
      <c r="H128" s="24"/>
    </row>
    <row r="129" spans="7:7">
      <c r="G129" s="23"/>
    </row>
  </sheetData>
  <autoFilter ref="A7:AH74" xr:uid="{078B6ACD-F52F-43CD-874E-B09F096439F0}">
    <filterColumn colId="6">
      <filters>
        <filter val="Delayed"/>
        <filter val="In Process"/>
        <filter val="Pending"/>
      </filters>
    </filterColumn>
  </autoFilter>
  <mergeCells count="8">
    <mergeCell ref="P5:P6"/>
    <mergeCell ref="Q5:Q6"/>
    <mergeCell ref="L6:M6"/>
    <mergeCell ref="C2:D2"/>
    <mergeCell ref="B3:O3"/>
    <mergeCell ref="B5:E6"/>
    <mergeCell ref="G5:H6"/>
    <mergeCell ref="J5:O5"/>
  </mergeCells>
  <conditionalFormatting sqref="B114 G8:G74">
    <cfRule type="cellIs" dxfId="15" priority="10" operator="equal">
      <formula>"Completed"</formula>
    </cfRule>
    <cfRule type="cellIs" dxfId="14" priority="11" operator="equal">
      <formula>"In Process"</formula>
    </cfRule>
  </conditionalFormatting>
  <conditionalFormatting sqref="G68:G6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70:G74 B114 G8:G68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24">
    <cfRule type="cellIs" dxfId="13" priority="7" operator="equal">
      <formula>"Completed"</formula>
    </cfRule>
    <cfRule type="cellIs" dxfId="12" priority="8" operator="equal">
      <formula>"In Process"</formula>
    </cfRule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3">
    <dataValidation type="list" allowBlank="1" showInputMessage="1" showErrorMessage="1" sqref="G69" xr:uid="{86D6A9EA-B89A-4945-B1D0-1297121051A8}">
      <formula1>$AA$53:$AA$63</formula1>
    </dataValidation>
    <dataValidation type="list" allowBlank="1" showInputMessage="1" showErrorMessage="1" sqref="G70:G74 G8:G68" xr:uid="{418806CF-D667-4D5C-A1DF-14B89451901A}">
      <formula1>$Z$49:$Z$57</formula1>
    </dataValidation>
    <dataValidation type="list" allowBlank="1" showInputMessage="1" showErrorMessage="1" sqref="D10" xr:uid="{FF17C5AD-E4F6-40D3-A4BC-A61986A2A83D}">
      <formula1>$W$37:$W$41</formula1>
    </dataValidation>
  </dataValidations>
  <pageMargins left="0.25" right="0.25" top="0.75" bottom="0.75" header="0.3" footer="0.3"/>
  <pageSetup paperSize="3" scale="63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537A9-6341-4B2B-A4A4-61BD40169222}">
  <sheetPr filterMode="1">
    <tabColor theme="4" tint="0.79998168889431442"/>
    <pageSetUpPr fitToPage="1"/>
  </sheetPr>
  <dimension ref="A1:AG130"/>
  <sheetViews>
    <sheetView zoomScaleNormal="100" workbookViewId="0">
      <selection activeCell="I60" sqref="I60"/>
    </sheetView>
  </sheetViews>
  <sheetFormatPr defaultRowHeight="15"/>
  <cols>
    <col min="1" max="1" width="3.28515625" customWidth="1"/>
    <col min="2" max="2" width="32" customWidth="1"/>
    <col min="3" max="3" width="18.5703125" customWidth="1"/>
    <col min="4" max="4" width="16.140625" customWidth="1"/>
    <col min="5" max="5" width="14.5703125" customWidth="1"/>
    <col min="6" max="6" width="15.140625" customWidth="1"/>
    <col min="7" max="7" width="0.5703125" customWidth="1"/>
    <col min="8" max="8" width="20.42578125" customWidth="1"/>
    <col min="9" max="9" width="20.28515625" bestFit="1" customWidth="1"/>
    <col min="10" max="10" width="0.42578125" customWidth="1"/>
    <col min="11" max="11" width="17" customWidth="1"/>
    <col min="12" max="12" width="17.85546875" customWidth="1"/>
    <col min="13" max="13" width="19.28515625" customWidth="1"/>
    <col min="14" max="14" width="15.85546875" customWidth="1"/>
    <col min="15" max="15" width="18" customWidth="1"/>
    <col min="16" max="16" width="16.7109375" customWidth="1"/>
    <col min="17" max="17" width="104.85546875" customWidth="1"/>
    <col min="18" max="18" width="14" hidden="1" customWidth="1"/>
    <col min="19" max="22" width="104.85546875" customWidth="1"/>
    <col min="24" max="24" width="104.85546875" customWidth="1"/>
    <col min="25" max="25" width="24.85546875" customWidth="1"/>
    <col min="27" max="27" width="14.140625" customWidth="1"/>
    <col min="31" max="31" width="0" hidden="1" customWidth="1"/>
    <col min="32" max="32" width="69.140625" hidden="1" customWidth="1"/>
    <col min="33" max="33" width="12.5703125" bestFit="1" customWidth="1"/>
  </cols>
  <sheetData>
    <row r="1" spans="1:32" s="277" customFormat="1" ht="48.75" customHeight="1">
      <c r="A1" s="276" t="s">
        <v>13</v>
      </c>
      <c r="B1" s="2"/>
      <c r="C1" s="4"/>
      <c r="D1" s="4"/>
      <c r="E1" s="4"/>
      <c r="F1" s="4"/>
      <c r="G1" s="4"/>
      <c r="H1" s="4"/>
      <c r="I1" s="4"/>
      <c r="J1" s="4"/>
      <c r="K1" s="4"/>
      <c r="L1" s="4" t="s">
        <v>20</v>
      </c>
      <c r="M1" s="4"/>
      <c r="N1" s="4"/>
      <c r="O1" s="4"/>
      <c r="P1" s="62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spans="1:32" s="286" customFormat="1" ht="33" customHeight="1">
      <c r="A2" s="285"/>
      <c r="B2" s="7" t="s">
        <v>1</v>
      </c>
      <c r="C2" s="387">
        <f ca="1">TODAY()</f>
        <v>46058</v>
      </c>
      <c r="D2" s="387"/>
      <c r="E2" s="387"/>
      <c r="G2" s="287"/>
      <c r="H2" s="287"/>
      <c r="I2" s="288"/>
      <c r="J2" s="288"/>
      <c r="L2" s="288"/>
      <c r="M2" s="288"/>
      <c r="N2" s="288"/>
      <c r="O2" s="288"/>
      <c r="P2" s="288"/>
      <c r="Q2" s="289"/>
      <c r="R2" s="289"/>
      <c r="S2" s="289"/>
      <c r="T2" s="289"/>
      <c r="U2" s="289"/>
      <c r="V2" s="289"/>
      <c r="W2" s="289"/>
      <c r="X2" s="289"/>
      <c r="Y2" s="289"/>
      <c r="Z2" s="289"/>
      <c r="AA2" s="289"/>
      <c r="AB2" s="289"/>
      <c r="AC2" s="289"/>
    </row>
    <row r="3" spans="1:32" s="279" customFormat="1" ht="30" customHeight="1">
      <c r="A3" s="278"/>
      <c r="B3" s="366" t="s">
        <v>239</v>
      </c>
      <c r="C3" s="366"/>
      <c r="D3" s="366"/>
      <c r="E3" s="366"/>
      <c r="F3" s="366"/>
      <c r="G3" s="366"/>
      <c r="H3" s="366"/>
      <c r="I3" s="366"/>
      <c r="J3" s="366"/>
      <c r="K3" s="366"/>
      <c r="L3" s="366"/>
      <c r="M3" s="366"/>
      <c r="N3" s="366"/>
      <c r="O3" s="366"/>
      <c r="P3" s="366"/>
      <c r="W3" s="280"/>
      <c r="Y3" s="280"/>
      <c r="Z3" s="280"/>
      <c r="AA3" s="280"/>
      <c r="AB3" s="280"/>
      <c r="AC3" s="280"/>
    </row>
    <row r="4" spans="1:32" ht="14.25" customHeight="1">
      <c r="A4" s="6"/>
      <c r="B4" s="93"/>
      <c r="C4" s="93"/>
      <c r="D4" s="93"/>
      <c r="E4" s="93"/>
      <c r="F4" s="93"/>
      <c r="G4" s="93"/>
      <c r="H4" s="93"/>
      <c r="I4" s="93"/>
      <c r="J4" s="93"/>
      <c r="L4" s="93"/>
      <c r="M4" s="93"/>
      <c r="N4" s="93"/>
      <c r="P4" s="93"/>
      <c r="W4" s="8"/>
      <c r="Y4" s="5"/>
      <c r="Z4" s="5"/>
      <c r="AA4" s="5"/>
      <c r="AB4" s="5"/>
      <c r="AC4" s="5"/>
    </row>
    <row r="5" spans="1:32" ht="38.25" customHeight="1">
      <c r="A5" s="6"/>
      <c r="B5" s="388" t="s">
        <v>240</v>
      </c>
      <c r="C5" s="389"/>
      <c r="D5" s="389"/>
      <c r="E5" s="389"/>
      <c r="F5" s="390"/>
      <c r="G5" s="92"/>
      <c r="H5" s="380" t="s">
        <v>241</v>
      </c>
      <c r="I5" s="381"/>
      <c r="J5" s="92"/>
      <c r="K5" s="394" t="s">
        <v>242</v>
      </c>
      <c r="L5" s="395"/>
      <c r="M5" s="395"/>
      <c r="N5" s="395"/>
      <c r="O5" s="395"/>
      <c r="P5" s="396"/>
      <c r="Q5" s="368" t="s">
        <v>134</v>
      </c>
      <c r="R5" s="370" t="s">
        <v>32</v>
      </c>
      <c r="Y5" s="5"/>
      <c r="Z5" s="5"/>
      <c r="AA5" s="5"/>
      <c r="AB5" s="5"/>
      <c r="AC5" s="5"/>
    </row>
    <row r="6" spans="1:32" ht="48" customHeight="1">
      <c r="A6" s="6"/>
      <c r="B6" s="391"/>
      <c r="C6" s="392"/>
      <c r="D6" s="392"/>
      <c r="E6" s="392"/>
      <c r="F6" s="393"/>
      <c r="G6" s="92"/>
      <c r="H6" s="382"/>
      <c r="I6" s="383"/>
      <c r="J6" s="92"/>
      <c r="K6" s="169" t="s">
        <v>135</v>
      </c>
      <c r="L6" s="170">
        <f>E121-E119</f>
        <v>12000</v>
      </c>
      <c r="M6" s="372" t="s">
        <v>136</v>
      </c>
      <c r="N6" s="373"/>
      <c r="O6" s="171" t="s">
        <v>137</v>
      </c>
      <c r="P6" s="172">
        <f>F121-F119+F123</f>
        <v>4625</v>
      </c>
      <c r="Q6" s="369"/>
      <c r="R6" s="371"/>
      <c r="Y6" s="5"/>
      <c r="Z6" s="5"/>
      <c r="AA6" s="5"/>
      <c r="AB6" s="5"/>
      <c r="AC6" s="5"/>
    </row>
    <row r="7" spans="1:32" ht="36.75" customHeight="1">
      <c r="A7" s="63" t="s">
        <v>20</v>
      </c>
      <c r="B7" s="294" t="s">
        <v>21</v>
      </c>
      <c r="C7" s="295" t="s">
        <v>22</v>
      </c>
      <c r="D7" s="295" t="s">
        <v>243</v>
      </c>
      <c r="E7" s="295" t="s">
        <v>23</v>
      </c>
      <c r="F7" s="295" t="s">
        <v>24</v>
      </c>
      <c r="G7" s="219"/>
      <c r="H7" s="296" t="s">
        <v>25</v>
      </c>
      <c r="I7" s="296" t="s">
        <v>26</v>
      </c>
      <c r="J7" s="219"/>
      <c r="K7" s="297" t="s">
        <v>3</v>
      </c>
      <c r="L7" s="297" t="s">
        <v>4</v>
      </c>
      <c r="M7" s="298" t="s">
        <v>119</v>
      </c>
      <c r="N7" s="297" t="s">
        <v>120</v>
      </c>
      <c r="O7" s="297" t="s">
        <v>29</v>
      </c>
      <c r="P7" s="297" t="s">
        <v>121</v>
      </c>
      <c r="Q7" s="231"/>
      <c r="R7" s="232"/>
      <c r="S7" s="74"/>
      <c r="T7" s="74"/>
      <c r="U7" s="74"/>
      <c r="V7" s="74"/>
      <c r="X7" s="74"/>
      <c r="Y7" s="8"/>
      <c r="Z7" s="8"/>
      <c r="AA7" s="81" t="s">
        <v>25</v>
      </c>
      <c r="AB7" s="8"/>
      <c r="AC7" s="8"/>
    </row>
    <row r="8" spans="1:32" ht="67.5">
      <c r="A8" s="63"/>
      <c r="B8" s="320" t="s">
        <v>244</v>
      </c>
      <c r="C8" s="67" t="s">
        <v>245</v>
      </c>
      <c r="D8" s="67" t="s">
        <v>13</v>
      </c>
      <c r="E8" s="67" t="s">
        <v>246</v>
      </c>
      <c r="F8" s="245" t="s">
        <v>42</v>
      </c>
      <c r="G8" s="248"/>
      <c r="H8" s="196" t="s">
        <v>17</v>
      </c>
      <c r="I8" s="125" t="s">
        <v>38</v>
      </c>
      <c r="J8" s="248"/>
      <c r="K8" s="300">
        <v>11000</v>
      </c>
      <c r="L8" s="300">
        <v>11000</v>
      </c>
      <c r="M8" s="301">
        <v>11000</v>
      </c>
      <c r="N8" s="60">
        <v>5500</v>
      </c>
      <c r="O8" s="64">
        <f>L8/K8</f>
        <v>1</v>
      </c>
      <c r="P8" s="60">
        <f>K8-L8</f>
        <v>0</v>
      </c>
      <c r="Q8" s="336" t="s">
        <v>247</v>
      </c>
      <c r="R8" s="293"/>
      <c r="S8" s="74"/>
      <c r="T8" s="74"/>
      <c r="U8" s="74"/>
      <c r="V8" s="74"/>
      <c r="X8" s="74"/>
      <c r="Y8" s="8"/>
      <c r="Z8" s="8"/>
      <c r="AA8" s="292"/>
      <c r="AB8" s="8"/>
      <c r="AC8" s="8"/>
    </row>
    <row r="9" spans="1:32" ht="72">
      <c r="B9" s="127" t="s">
        <v>248</v>
      </c>
      <c r="C9" s="128" t="s">
        <v>249</v>
      </c>
      <c r="D9" s="223" t="s">
        <v>13</v>
      </c>
      <c r="E9" s="129" t="s">
        <v>246</v>
      </c>
      <c r="F9" s="130" t="s">
        <v>46</v>
      </c>
      <c r="G9" s="220"/>
      <c r="H9" s="196" t="s">
        <v>17</v>
      </c>
      <c r="I9" s="125" t="s">
        <v>38</v>
      </c>
      <c r="J9" s="220"/>
      <c r="K9" s="109">
        <v>1712.25</v>
      </c>
      <c r="L9" s="60">
        <v>1712.25</v>
      </c>
      <c r="M9" s="122">
        <v>0</v>
      </c>
      <c r="N9" s="60">
        <f>L9-M9</f>
        <v>1712.25</v>
      </c>
      <c r="O9" s="64">
        <f>L9/K9</f>
        <v>1</v>
      </c>
      <c r="P9" s="60">
        <f>K9-L9</f>
        <v>0</v>
      </c>
      <c r="Q9" s="299" t="s">
        <v>250</v>
      </c>
      <c r="R9" s="131"/>
      <c r="S9" s="75"/>
      <c r="T9" s="75"/>
      <c r="U9" s="75"/>
      <c r="V9" s="75"/>
      <c r="X9" s="75"/>
      <c r="AF9" s="16"/>
    </row>
    <row r="10" spans="1:32" ht="72">
      <c r="B10" s="127" t="s">
        <v>248</v>
      </c>
      <c r="C10" s="128" t="s">
        <v>249</v>
      </c>
      <c r="D10" s="52" t="s">
        <v>13</v>
      </c>
      <c r="E10" s="129" t="s">
        <v>246</v>
      </c>
      <c r="F10" s="130" t="s">
        <v>46</v>
      </c>
      <c r="G10" s="220"/>
      <c r="H10" s="196" t="s">
        <v>17</v>
      </c>
      <c r="I10" s="125" t="s">
        <v>38</v>
      </c>
      <c r="J10" s="220"/>
      <c r="K10" s="109">
        <v>950</v>
      </c>
      <c r="L10" s="60">
        <v>950</v>
      </c>
      <c r="M10" s="122">
        <v>0</v>
      </c>
      <c r="N10" s="9">
        <f>L10-M10</f>
        <v>950</v>
      </c>
      <c r="O10" s="10">
        <f>L10/K10</f>
        <v>1</v>
      </c>
      <c r="P10" s="9">
        <f>K10-L10</f>
        <v>0</v>
      </c>
      <c r="Q10" s="211" t="s">
        <v>251</v>
      </c>
      <c r="R10" s="131"/>
      <c r="S10" s="75"/>
      <c r="T10" s="75"/>
      <c r="U10" s="75"/>
      <c r="V10" s="75"/>
      <c r="X10" s="75"/>
      <c r="AF10" s="16"/>
    </row>
    <row r="11" spans="1:32" ht="90">
      <c r="B11" s="127" t="s">
        <v>252</v>
      </c>
      <c r="C11" s="128" t="s">
        <v>249</v>
      </c>
      <c r="D11" s="52" t="s">
        <v>13</v>
      </c>
      <c r="E11" s="129" t="s">
        <v>246</v>
      </c>
      <c r="F11" s="130" t="s">
        <v>85</v>
      </c>
      <c r="G11" s="220"/>
      <c r="H11" s="196" t="s">
        <v>17</v>
      </c>
      <c r="I11" s="125" t="s">
        <v>253</v>
      </c>
      <c r="J11" s="220"/>
      <c r="K11" s="109">
        <v>1200</v>
      </c>
      <c r="L11" s="60">
        <v>1200</v>
      </c>
      <c r="M11" s="122">
        <v>0</v>
      </c>
      <c r="N11" s="9">
        <f>L11-M11</f>
        <v>1200</v>
      </c>
      <c r="O11" s="10">
        <f>L11/K11</f>
        <v>1</v>
      </c>
      <c r="P11" s="9">
        <f>K11-L11</f>
        <v>0</v>
      </c>
      <c r="Q11" s="211" t="s">
        <v>254</v>
      </c>
      <c r="R11" s="131"/>
      <c r="S11" s="75"/>
      <c r="T11" s="75"/>
      <c r="U11" s="75"/>
      <c r="V11" s="75"/>
      <c r="X11" s="75"/>
      <c r="AF11" s="16"/>
    </row>
    <row r="12" spans="1:32" ht="90">
      <c r="B12" s="127" t="s">
        <v>252</v>
      </c>
      <c r="C12" s="128" t="s">
        <v>249</v>
      </c>
      <c r="D12" s="52" t="s">
        <v>13</v>
      </c>
      <c r="E12" s="129" t="s">
        <v>246</v>
      </c>
      <c r="F12" s="130" t="s">
        <v>85</v>
      </c>
      <c r="G12" s="220"/>
      <c r="H12" s="196" t="s">
        <v>17</v>
      </c>
      <c r="I12" s="125" t="s">
        <v>38</v>
      </c>
      <c r="J12" s="220"/>
      <c r="K12" s="109">
        <v>5300</v>
      </c>
      <c r="L12" s="60">
        <v>5300</v>
      </c>
      <c r="M12" s="122">
        <v>0</v>
      </c>
      <c r="N12" s="9">
        <f>L12-M12</f>
        <v>5300</v>
      </c>
      <c r="O12" s="10">
        <f>L12/K12</f>
        <v>1</v>
      </c>
      <c r="P12" s="9">
        <f>K12-L12</f>
        <v>0</v>
      </c>
      <c r="Q12" s="211" t="s">
        <v>255</v>
      </c>
      <c r="R12" s="131"/>
      <c r="S12" s="75"/>
      <c r="T12" s="75"/>
      <c r="U12" s="75"/>
      <c r="V12" s="75"/>
      <c r="X12" s="75"/>
      <c r="AF12" s="16"/>
    </row>
    <row r="13" spans="1:32" ht="54">
      <c r="B13" s="127" t="s">
        <v>256</v>
      </c>
      <c r="C13" s="128" t="s">
        <v>249</v>
      </c>
      <c r="D13" s="52" t="s">
        <v>13</v>
      </c>
      <c r="E13" s="129" t="s">
        <v>246</v>
      </c>
      <c r="F13" s="130" t="s">
        <v>46</v>
      </c>
      <c r="G13" s="220"/>
      <c r="H13" s="196" t="s">
        <v>17</v>
      </c>
      <c r="I13" s="125" t="s">
        <v>38</v>
      </c>
      <c r="J13" s="220"/>
      <c r="K13" s="109">
        <v>6800</v>
      </c>
      <c r="L13" s="60">
        <v>6800</v>
      </c>
      <c r="M13" s="122">
        <v>0</v>
      </c>
      <c r="N13" s="9">
        <f>L13-M13</f>
        <v>6800</v>
      </c>
      <c r="O13" s="10">
        <f>L13/K13</f>
        <v>1</v>
      </c>
      <c r="P13" s="9">
        <f>K13-L13</f>
        <v>0</v>
      </c>
      <c r="Q13" s="211" t="s">
        <v>257</v>
      </c>
      <c r="R13" s="131"/>
      <c r="S13" s="75"/>
      <c r="T13" s="75"/>
      <c r="U13" s="75"/>
      <c r="V13" s="75"/>
      <c r="X13" s="75"/>
      <c r="AF13" s="16"/>
    </row>
    <row r="14" spans="1:32" ht="72">
      <c r="B14" s="127" t="s">
        <v>258</v>
      </c>
      <c r="C14" s="128" t="s">
        <v>249</v>
      </c>
      <c r="D14" s="52" t="s">
        <v>13</v>
      </c>
      <c r="E14" s="129" t="s">
        <v>85</v>
      </c>
      <c r="F14" s="130" t="s">
        <v>85</v>
      </c>
      <c r="G14" s="220"/>
      <c r="H14" s="196" t="s">
        <v>17</v>
      </c>
      <c r="I14" s="125" t="s">
        <v>253</v>
      </c>
      <c r="J14" s="220"/>
      <c r="K14" s="109">
        <v>1500</v>
      </c>
      <c r="L14" s="60">
        <v>1500</v>
      </c>
      <c r="M14" s="122">
        <v>0</v>
      </c>
      <c r="N14" s="9">
        <f>L14-M14</f>
        <v>1500</v>
      </c>
      <c r="O14" s="10">
        <f>L14/K14</f>
        <v>1</v>
      </c>
      <c r="P14" s="9">
        <f>K14-L14</f>
        <v>0</v>
      </c>
      <c r="Q14" s="211" t="s">
        <v>259</v>
      </c>
      <c r="R14" s="131"/>
      <c r="S14" s="75"/>
      <c r="T14" s="75"/>
      <c r="U14" s="75"/>
      <c r="V14" s="75"/>
      <c r="X14" s="75"/>
      <c r="AF14" s="16"/>
    </row>
    <row r="15" spans="1:32" ht="72">
      <c r="B15" s="127" t="s">
        <v>260</v>
      </c>
      <c r="C15" s="128" t="s">
        <v>249</v>
      </c>
      <c r="D15" s="52" t="s">
        <v>13</v>
      </c>
      <c r="E15" s="129" t="s">
        <v>246</v>
      </c>
      <c r="F15" s="130" t="s">
        <v>46</v>
      </c>
      <c r="G15" s="220"/>
      <c r="H15" s="196" t="s">
        <v>17</v>
      </c>
      <c r="I15" s="125" t="s">
        <v>38</v>
      </c>
      <c r="J15" s="220"/>
      <c r="K15" s="109">
        <v>1200</v>
      </c>
      <c r="L15" s="60">
        <v>1200</v>
      </c>
      <c r="M15" s="122">
        <v>0</v>
      </c>
      <c r="N15" s="9">
        <f>L15-M15</f>
        <v>1200</v>
      </c>
      <c r="O15" s="10">
        <f>L15/K15</f>
        <v>1</v>
      </c>
      <c r="P15" s="9">
        <f>K15-L15</f>
        <v>0</v>
      </c>
      <c r="Q15" s="211" t="s">
        <v>254</v>
      </c>
      <c r="R15" s="131"/>
      <c r="S15" s="75"/>
      <c r="T15" s="75"/>
      <c r="U15" s="75"/>
      <c r="V15" s="75"/>
      <c r="X15" s="75"/>
      <c r="AF15" s="16"/>
    </row>
    <row r="16" spans="1:32" ht="72">
      <c r="B16" s="127" t="s">
        <v>261</v>
      </c>
      <c r="C16" s="128" t="s">
        <v>245</v>
      </c>
      <c r="D16" s="52" t="s">
        <v>13</v>
      </c>
      <c r="E16" s="129" t="s">
        <v>85</v>
      </c>
      <c r="F16" s="130" t="s">
        <v>85</v>
      </c>
      <c r="G16" s="220"/>
      <c r="H16" s="196" t="s">
        <v>17</v>
      </c>
      <c r="I16" s="125" t="s">
        <v>38</v>
      </c>
      <c r="J16" s="220"/>
      <c r="K16" s="109">
        <v>5310</v>
      </c>
      <c r="L16" s="60">
        <v>0</v>
      </c>
      <c r="M16" s="122">
        <v>0</v>
      </c>
      <c r="N16" s="9">
        <f>L16-M16</f>
        <v>0</v>
      </c>
      <c r="O16" s="10">
        <f>L16/K16</f>
        <v>0</v>
      </c>
      <c r="P16" s="9">
        <f>K16-L16</f>
        <v>5310</v>
      </c>
      <c r="Q16" s="211" t="s">
        <v>262</v>
      </c>
      <c r="R16" s="131"/>
      <c r="S16" s="75"/>
      <c r="T16" s="75"/>
      <c r="U16" s="75"/>
      <c r="V16" s="75"/>
      <c r="X16" s="75"/>
      <c r="AF16" s="16"/>
    </row>
    <row r="17" spans="2:32" ht="72">
      <c r="B17" s="127" t="s">
        <v>261</v>
      </c>
      <c r="C17" s="128" t="s">
        <v>263</v>
      </c>
      <c r="D17" s="52" t="s">
        <v>13</v>
      </c>
      <c r="E17" s="129" t="s">
        <v>85</v>
      </c>
      <c r="F17" s="130" t="s">
        <v>264</v>
      </c>
      <c r="G17" s="220"/>
      <c r="H17" s="196" t="s">
        <v>17</v>
      </c>
      <c r="I17" s="125" t="s">
        <v>55</v>
      </c>
      <c r="J17" s="220"/>
      <c r="K17" s="109">
        <v>2360</v>
      </c>
      <c r="L17" s="60">
        <v>2360</v>
      </c>
      <c r="M17" s="122">
        <v>0</v>
      </c>
      <c r="N17" s="9">
        <f>L17-M17</f>
        <v>2360</v>
      </c>
      <c r="O17" s="10">
        <f>L17/K17</f>
        <v>1</v>
      </c>
      <c r="P17" s="9">
        <f>K17-L17</f>
        <v>0</v>
      </c>
      <c r="Q17" s="211" t="s">
        <v>265</v>
      </c>
      <c r="R17" s="131"/>
      <c r="S17" s="75"/>
      <c r="T17" s="75"/>
      <c r="U17" s="75"/>
      <c r="V17" s="75"/>
      <c r="X17" s="75"/>
      <c r="AF17" s="16"/>
    </row>
    <row r="18" spans="2:32" ht="62.25">
      <c r="B18" s="127" t="s">
        <v>266</v>
      </c>
      <c r="C18" s="128" t="s">
        <v>249</v>
      </c>
      <c r="D18" s="52" t="s">
        <v>13</v>
      </c>
      <c r="E18" s="129" t="s">
        <v>246</v>
      </c>
      <c r="F18" s="130" t="s">
        <v>85</v>
      </c>
      <c r="G18" s="220"/>
      <c r="H18" s="196" t="s">
        <v>17</v>
      </c>
      <c r="I18" s="125" t="s">
        <v>55</v>
      </c>
      <c r="J18" s="220"/>
      <c r="K18" s="109">
        <v>2500</v>
      </c>
      <c r="L18" s="60">
        <v>0</v>
      </c>
      <c r="M18" s="122">
        <v>0</v>
      </c>
      <c r="N18" s="9">
        <v>2500</v>
      </c>
      <c r="O18" s="10">
        <v>1</v>
      </c>
      <c r="P18" s="9">
        <f>K18-L18</f>
        <v>2500</v>
      </c>
      <c r="Q18" s="211" t="s">
        <v>267</v>
      </c>
      <c r="R18" s="131"/>
      <c r="S18" s="75"/>
      <c r="T18" s="75"/>
      <c r="U18" s="75"/>
      <c r="V18" s="75"/>
      <c r="X18" s="75"/>
      <c r="AF18" s="16"/>
    </row>
    <row r="19" spans="2:32" ht="36">
      <c r="B19" s="127" t="s">
        <v>268</v>
      </c>
      <c r="C19" s="128" t="s">
        <v>269</v>
      </c>
      <c r="D19" s="52" t="s">
        <v>13</v>
      </c>
      <c r="E19" s="129" t="s">
        <v>246</v>
      </c>
      <c r="F19" s="130" t="s">
        <v>85</v>
      </c>
      <c r="G19" s="220"/>
      <c r="H19" s="196" t="s">
        <v>17</v>
      </c>
      <c r="I19" s="125" t="s">
        <v>38</v>
      </c>
      <c r="J19" s="220"/>
      <c r="K19" s="109">
        <v>2334</v>
      </c>
      <c r="L19" s="60">
        <v>2334</v>
      </c>
      <c r="M19" s="122">
        <v>0</v>
      </c>
      <c r="N19" s="9">
        <f>L19-M19</f>
        <v>2334</v>
      </c>
      <c r="O19" s="10">
        <f>L19/K19</f>
        <v>1</v>
      </c>
      <c r="P19" s="9">
        <f>K19-L19</f>
        <v>0</v>
      </c>
      <c r="Q19" s="211" t="s">
        <v>250</v>
      </c>
      <c r="R19" s="131"/>
      <c r="S19" s="75"/>
      <c r="T19" s="75"/>
      <c r="U19" s="75"/>
      <c r="V19" s="75"/>
      <c r="X19" s="75"/>
      <c r="AF19" s="16"/>
    </row>
    <row r="20" spans="2:32" ht="36">
      <c r="B20" s="127" t="s">
        <v>270</v>
      </c>
      <c r="C20" s="128" t="s">
        <v>245</v>
      </c>
      <c r="D20" s="52" t="s">
        <v>13</v>
      </c>
      <c r="E20" s="129" t="s">
        <v>246</v>
      </c>
      <c r="F20" s="130" t="s">
        <v>246</v>
      </c>
      <c r="G20" s="220"/>
      <c r="H20" s="196" t="s">
        <v>17</v>
      </c>
      <c r="I20" s="125" t="s">
        <v>38</v>
      </c>
      <c r="J20" s="220"/>
      <c r="K20" s="109">
        <v>1895</v>
      </c>
      <c r="L20" s="60">
        <v>1895</v>
      </c>
      <c r="M20" s="122">
        <v>0</v>
      </c>
      <c r="N20" s="9">
        <f>L20-M20</f>
        <v>1895</v>
      </c>
      <c r="O20" s="10">
        <f>L20/K20</f>
        <v>1</v>
      </c>
      <c r="P20" s="9">
        <f>K20-L20</f>
        <v>0</v>
      </c>
      <c r="Q20" s="211" t="s">
        <v>271</v>
      </c>
      <c r="R20" s="131"/>
      <c r="S20" s="75"/>
      <c r="T20" s="75"/>
      <c r="U20" s="75"/>
      <c r="V20" s="75"/>
      <c r="X20" s="75"/>
      <c r="AF20" s="16"/>
    </row>
    <row r="21" spans="2:32" ht="24" hidden="1">
      <c r="B21" s="127" t="s">
        <v>272</v>
      </c>
      <c r="C21" s="128"/>
      <c r="D21" s="52"/>
      <c r="E21" s="129" t="s">
        <v>89</v>
      </c>
      <c r="F21" s="130" t="s">
        <v>85</v>
      </c>
      <c r="G21" s="220"/>
      <c r="H21" s="124" t="s">
        <v>67</v>
      </c>
      <c r="I21" s="125" t="s">
        <v>209</v>
      </c>
      <c r="J21" s="220"/>
      <c r="K21" s="109">
        <v>12000</v>
      </c>
      <c r="L21" s="60">
        <v>12000</v>
      </c>
      <c r="M21" s="122">
        <v>0</v>
      </c>
      <c r="N21" s="9">
        <f>L21-M21</f>
        <v>12000</v>
      </c>
      <c r="O21" s="10">
        <f>L21/K21</f>
        <v>1</v>
      </c>
      <c r="P21" s="9">
        <f>K21-L21</f>
        <v>0</v>
      </c>
      <c r="Q21" s="210" t="s">
        <v>273</v>
      </c>
      <c r="R21" s="131" t="s">
        <v>40</v>
      </c>
      <c r="S21" s="75"/>
      <c r="T21" s="75"/>
      <c r="U21" s="75"/>
      <c r="V21" s="75"/>
      <c r="X21" s="75"/>
      <c r="AF21" s="16"/>
    </row>
    <row r="22" spans="2:32" ht="54">
      <c r="B22" s="127" t="s">
        <v>274</v>
      </c>
      <c r="C22" s="128" t="s">
        <v>245</v>
      </c>
      <c r="D22" s="52" t="s">
        <v>13</v>
      </c>
      <c r="E22" s="129" t="s">
        <v>246</v>
      </c>
      <c r="F22" s="130" t="s">
        <v>85</v>
      </c>
      <c r="G22" s="220"/>
      <c r="H22" s="124" t="s">
        <v>17</v>
      </c>
      <c r="I22" s="125" t="s">
        <v>90</v>
      </c>
      <c r="J22" s="220"/>
      <c r="K22" s="109">
        <v>250</v>
      </c>
      <c r="L22" s="60">
        <v>250</v>
      </c>
      <c r="M22" s="122">
        <v>250</v>
      </c>
      <c r="N22" s="9">
        <f>L22-M22</f>
        <v>0</v>
      </c>
      <c r="O22" s="10">
        <f>L22/K22</f>
        <v>1</v>
      </c>
      <c r="P22" s="9">
        <f>K22-L22</f>
        <v>0</v>
      </c>
      <c r="Q22" s="211" t="s">
        <v>275</v>
      </c>
      <c r="R22" s="131"/>
      <c r="S22" s="75"/>
      <c r="T22" s="75"/>
      <c r="U22" s="75"/>
      <c r="V22" s="75"/>
      <c r="X22" s="75"/>
      <c r="AF22" s="16"/>
    </row>
    <row r="23" spans="2:32" ht="54">
      <c r="B23" s="127" t="s">
        <v>276</v>
      </c>
      <c r="C23" s="128" t="s">
        <v>245</v>
      </c>
      <c r="D23" s="52" t="s">
        <v>13</v>
      </c>
      <c r="E23" s="129" t="s">
        <v>85</v>
      </c>
      <c r="F23" s="130" t="s">
        <v>85</v>
      </c>
      <c r="G23" s="220"/>
      <c r="H23" s="124" t="s">
        <v>17</v>
      </c>
      <c r="I23" s="125" t="s">
        <v>90</v>
      </c>
      <c r="J23" s="220"/>
      <c r="K23" s="109">
        <v>250</v>
      </c>
      <c r="L23" s="60">
        <v>250</v>
      </c>
      <c r="M23" s="122">
        <v>0</v>
      </c>
      <c r="N23" s="9">
        <f>L23-M23</f>
        <v>250</v>
      </c>
      <c r="O23" s="10">
        <f>L23/K23</f>
        <v>1</v>
      </c>
      <c r="P23" s="9">
        <f>K23-L23</f>
        <v>0</v>
      </c>
      <c r="Q23" s="211" t="s">
        <v>277</v>
      </c>
      <c r="R23" s="131"/>
      <c r="S23" s="75"/>
      <c r="T23" s="75"/>
      <c r="U23" s="75"/>
      <c r="V23" s="75"/>
      <c r="X23" s="75"/>
      <c r="AF23" s="16"/>
    </row>
    <row r="24" spans="2:32" ht="36">
      <c r="B24" s="127" t="s">
        <v>278</v>
      </c>
      <c r="C24" s="128" t="s">
        <v>249</v>
      </c>
      <c r="D24" s="52" t="s">
        <v>13</v>
      </c>
      <c r="E24" s="129" t="s">
        <v>279</v>
      </c>
      <c r="F24" s="130" t="s">
        <v>279</v>
      </c>
      <c r="G24" s="220"/>
      <c r="H24" s="124" t="s">
        <v>17</v>
      </c>
      <c r="I24" s="125" t="s">
        <v>38</v>
      </c>
      <c r="J24" s="220"/>
      <c r="K24" s="109">
        <v>3595</v>
      </c>
      <c r="L24" s="60">
        <v>3595</v>
      </c>
      <c r="M24" s="122">
        <v>0</v>
      </c>
      <c r="N24" s="9">
        <f>L24-M24</f>
        <v>3595</v>
      </c>
      <c r="O24" s="10">
        <f>L24/K24</f>
        <v>1</v>
      </c>
      <c r="P24" s="9">
        <f>K24-L24</f>
        <v>0</v>
      </c>
      <c r="Q24" s="211" t="s">
        <v>280</v>
      </c>
      <c r="R24" s="131"/>
      <c r="S24" s="75"/>
      <c r="T24" s="75"/>
      <c r="U24" s="75"/>
      <c r="V24" s="75"/>
      <c r="X24" s="75"/>
      <c r="AF24" s="16"/>
    </row>
    <row r="25" spans="2:32" ht="36">
      <c r="B25" s="127" t="s">
        <v>281</v>
      </c>
      <c r="C25" s="128" t="s">
        <v>282</v>
      </c>
      <c r="D25" s="52" t="s">
        <v>13</v>
      </c>
      <c r="E25" s="129" t="s">
        <v>85</v>
      </c>
      <c r="F25" s="130" t="s">
        <v>85</v>
      </c>
      <c r="G25" s="220"/>
      <c r="H25" s="124" t="s">
        <v>17</v>
      </c>
      <c r="I25" s="125" t="s">
        <v>38</v>
      </c>
      <c r="J25" s="220"/>
      <c r="K25" s="109">
        <v>2900</v>
      </c>
      <c r="L25" s="60">
        <v>2900</v>
      </c>
      <c r="M25" s="122">
        <v>0</v>
      </c>
      <c r="N25" s="9">
        <f>L25-M25</f>
        <v>2900</v>
      </c>
      <c r="O25" s="10">
        <f>L25/K25</f>
        <v>1</v>
      </c>
      <c r="P25" s="9">
        <f>K25-L25</f>
        <v>0</v>
      </c>
      <c r="Q25" s="211" t="s">
        <v>283</v>
      </c>
      <c r="R25" s="131"/>
      <c r="S25" s="75"/>
      <c r="T25" s="75"/>
      <c r="U25" s="75"/>
      <c r="V25" s="75"/>
      <c r="X25" s="75"/>
      <c r="AF25" s="16"/>
    </row>
    <row r="26" spans="2:32" ht="36">
      <c r="B26" s="127" t="s">
        <v>284</v>
      </c>
      <c r="C26" s="128" t="s">
        <v>285</v>
      </c>
      <c r="D26" s="52" t="s">
        <v>13</v>
      </c>
      <c r="E26" s="129" t="s">
        <v>85</v>
      </c>
      <c r="F26" s="130" t="s">
        <v>42</v>
      </c>
      <c r="G26" s="220"/>
      <c r="H26" s="124" t="s">
        <v>17</v>
      </c>
      <c r="I26" s="125" t="s">
        <v>38</v>
      </c>
      <c r="J26" s="220"/>
      <c r="K26" s="109">
        <v>16747.5</v>
      </c>
      <c r="L26" s="60">
        <v>16747.5</v>
      </c>
      <c r="M26" s="122">
        <v>0</v>
      </c>
      <c r="N26" s="9">
        <f>L26-M26</f>
        <v>16747.5</v>
      </c>
      <c r="O26" s="10">
        <f>L26/K26</f>
        <v>1</v>
      </c>
      <c r="P26" s="9">
        <f>K26-L26</f>
        <v>0</v>
      </c>
      <c r="Q26" s="243" t="s">
        <v>286</v>
      </c>
      <c r="R26" s="131"/>
      <c r="S26" s="75"/>
      <c r="T26" s="75"/>
      <c r="U26" s="75"/>
      <c r="V26" s="75"/>
      <c r="X26" s="75"/>
      <c r="AF26" s="16"/>
    </row>
    <row r="27" spans="2:32" ht="72">
      <c r="B27" s="127" t="s">
        <v>287</v>
      </c>
      <c r="C27" s="128" t="s">
        <v>245</v>
      </c>
      <c r="D27" s="52" t="s">
        <v>13</v>
      </c>
      <c r="E27" s="129" t="s">
        <v>246</v>
      </c>
      <c r="F27" s="130" t="s">
        <v>46</v>
      </c>
      <c r="G27" s="220"/>
      <c r="H27" s="124" t="s">
        <v>17</v>
      </c>
      <c r="I27" s="125" t="s">
        <v>38</v>
      </c>
      <c r="J27" s="220"/>
      <c r="K27" s="109">
        <v>1000</v>
      </c>
      <c r="L27" s="60">
        <v>1000</v>
      </c>
      <c r="M27" s="122">
        <v>0</v>
      </c>
      <c r="N27" s="9">
        <f>L27-M27</f>
        <v>1000</v>
      </c>
      <c r="O27" s="10">
        <f>L27/K27</f>
        <v>1</v>
      </c>
      <c r="P27" s="9">
        <f>K27-L27</f>
        <v>0</v>
      </c>
      <c r="Q27" s="211" t="s">
        <v>288</v>
      </c>
      <c r="R27" s="131"/>
      <c r="S27" s="75"/>
      <c r="T27" s="75"/>
      <c r="U27" s="75"/>
      <c r="V27" s="75"/>
      <c r="X27" s="75"/>
      <c r="AF27" s="16"/>
    </row>
    <row r="28" spans="2:32" ht="36">
      <c r="B28" s="127" t="s">
        <v>289</v>
      </c>
      <c r="C28" s="128" t="s">
        <v>249</v>
      </c>
      <c r="D28" s="52" t="s">
        <v>13</v>
      </c>
      <c r="E28" s="129" t="s">
        <v>246</v>
      </c>
      <c r="F28" s="130" t="s">
        <v>246</v>
      </c>
      <c r="G28" s="220"/>
      <c r="H28" s="124" t="s">
        <v>17</v>
      </c>
      <c r="I28" s="125" t="s">
        <v>38</v>
      </c>
      <c r="J28" s="220"/>
      <c r="K28" s="109">
        <v>2200</v>
      </c>
      <c r="L28" s="60">
        <v>2200</v>
      </c>
      <c r="M28" s="122">
        <v>0</v>
      </c>
      <c r="N28" s="9">
        <f>L28-M28</f>
        <v>2200</v>
      </c>
      <c r="O28" s="10">
        <f>L28/K28</f>
        <v>1</v>
      </c>
      <c r="P28" s="9">
        <f>K28-L28</f>
        <v>0</v>
      </c>
      <c r="Q28" s="211" t="s">
        <v>290</v>
      </c>
      <c r="R28" s="131"/>
      <c r="S28" s="75"/>
      <c r="T28" s="75"/>
      <c r="U28" s="75"/>
      <c r="V28" s="75"/>
      <c r="X28" s="75"/>
      <c r="AF28" s="16"/>
    </row>
    <row r="29" spans="2:32" ht="90">
      <c r="B29" s="127" t="s">
        <v>291</v>
      </c>
      <c r="C29" s="128" t="s">
        <v>245</v>
      </c>
      <c r="D29" s="52" t="s">
        <v>13</v>
      </c>
      <c r="E29" s="129" t="s">
        <v>246</v>
      </c>
      <c r="F29" s="130" t="s">
        <v>46</v>
      </c>
      <c r="G29" s="220"/>
      <c r="H29" s="124" t="s">
        <v>17</v>
      </c>
      <c r="I29" s="125" t="s">
        <v>38</v>
      </c>
      <c r="J29" s="220"/>
      <c r="K29" s="109">
        <v>1645.15</v>
      </c>
      <c r="L29" s="60">
        <v>1645.15</v>
      </c>
      <c r="M29" s="122">
        <v>0</v>
      </c>
      <c r="N29" s="9">
        <f>L29-M29</f>
        <v>1645.15</v>
      </c>
      <c r="O29" s="10">
        <f>L29/K29</f>
        <v>1</v>
      </c>
      <c r="P29" s="9">
        <f>K29-L29</f>
        <v>0</v>
      </c>
      <c r="Q29" s="211" t="s">
        <v>292</v>
      </c>
      <c r="R29" s="131"/>
      <c r="S29" s="75"/>
      <c r="T29" s="75"/>
      <c r="U29" s="75"/>
      <c r="V29" s="75"/>
      <c r="X29" s="75"/>
      <c r="AF29" s="16"/>
    </row>
    <row r="30" spans="2:32" ht="54">
      <c r="B30" s="127" t="s">
        <v>293</v>
      </c>
      <c r="C30" s="128" t="s">
        <v>294</v>
      </c>
      <c r="D30" s="52" t="s">
        <v>13</v>
      </c>
      <c r="E30" s="129" t="s">
        <v>46</v>
      </c>
      <c r="F30" s="130" t="s">
        <v>46</v>
      </c>
      <c r="G30" s="220"/>
      <c r="H30" s="124" t="s">
        <v>17</v>
      </c>
      <c r="I30" s="125" t="s">
        <v>38</v>
      </c>
      <c r="J30" s="220"/>
      <c r="K30" s="109">
        <v>2456.37</v>
      </c>
      <c r="L30" s="60">
        <v>2456.37</v>
      </c>
      <c r="M30" s="122">
        <v>0</v>
      </c>
      <c r="N30" s="9">
        <f>L30-M30</f>
        <v>2456.37</v>
      </c>
      <c r="O30" s="10">
        <f>L30/K30</f>
        <v>1</v>
      </c>
      <c r="P30" s="9">
        <f>K30-L30</f>
        <v>0</v>
      </c>
      <c r="Q30" s="211" t="s">
        <v>295</v>
      </c>
      <c r="R30" s="131"/>
      <c r="S30" s="75"/>
      <c r="T30" s="75"/>
      <c r="U30" s="75"/>
      <c r="V30" s="75"/>
      <c r="X30" s="75"/>
      <c r="AF30" s="16"/>
    </row>
    <row r="31" spans="2:32" ht="90">
      <c r="B31" s="127" t="s">
        <v>296</v>
      </c>
      <c r="C31" s="128" t="s">
        <v>245</v>
      </c>
      <c r="D31" s="52" t="s">
        <v>13</v>
      </c>
      <c r="E31" s="129" t="s">
        <v>246</v>
      </c>
      <c r="F31" s="130" t="s">
        <v>46</v>
      </c>
      <c r="G31" s="220"/>
      <c r="H31" s="124" t="s">
        <v>17</v>
      </c>
      <c r="I31" s="125" t="s">
        <v>38</v>
      </c>
      <c r="J31" s="220"/>
      <c r="K31" s="109">
        <v>2168.35</v>
      </c>
      <c r="L31" s="60">
        <v>2168.35</v>
      </c>
      <c r="M31" s="122">
        <v>0</v>
      </c>
      <c r="N31" s="9">
        <f>L31-M31</f>
        <v>2168.35</v>
      </c>
      <c r="O31" s="10">
        <f>L31/K31</f>
        <v>1</v>
      </c>
      <c r="P31" s="9">
        <f>K31-L31</f>
        <v>0</v>
      </c>
      <c r="Q31" s="211" t="s">
        <v>297</v>
      </c>
      <c r="R31" s="131"/>
      <c r="S31" s="75"/>
      <c r="T31" s="75"/>
      <c r="U31" s="75"/>
      <c r="V31" s="75"/>
      <c r="X31" s="75"/>
      <c r="AF31" s="16"/>
    </row>
    <row r="32" spans="2:32" ht="36">
      <c r="B32" s="127" t="s">
        <v>298</v>
      </c>
      <c r="C32" s="128" t="s">
        <v>245</v>
      </c>
      <c r="D32" s="52" t="s">
        <v>13</v>
      </c>
      <c r="E32" s="129" t="s">
        <v>85</v>
      </c>
      <c r="F32" s="130" t="s">
        <v>85</v>
      </c>
      <c r="G32" s="220"/>
      <c r="H32" s="124" t="s">
        <v>17</v>
      </c>
      <c r="I32" s="125" t="s">
        <v>38</v>
      </c>
      <c r="J32" s="220"/>
      <c r="K32" s="109">
        <v>900</v>
      </c>
      <c r="L32" s="60">
        <v>900</v>
      </c>
      <c r="M32" s="122">
        <v>0</v>
      </c>
      <c r="N32" s="9">
        <f>L32-M32</f>
        <v>900</v>
      </c>
      <c r="O32" s="10">
        <f>L32/K32</f>
        <v>1</v>
      </c>
      <c r="P32" s="9">
        <f>K32-L32</f>
        <v>0</v>
      </c>
      <c r="Q32" s="211" t="s">
        <v>292</v>
      </c>
      <c r="R32" s="131"/>
      <c r="S32" s="75"/>
      <c r="T32" s="75"/>
      <c r="U32" s="75"/>
      <c r="V32" s="75"/>
      <c r="X32" s="75"/>
      <c r="AF32" s="16"/>
    </row>
    <row r="33" spans="2:32" ht="36">
      <c r="B33" s="127" t="s">
        <v>298</v>
      </c>
      <c r="C33" s="128" t="s">
        <v>245</v>
      </c>
      <c r="D33" s="52" t="s">
        <v>13</v>
      </c>
      <c r="E33" s="129" t="s">
        <v>85</v>
      </c>
      <c r="F33" s="130" t="s">
        <v>85</v>
      </c>
      <c r="G33" s="220"/>
      <c r="H33" s="124" t="s">
        <v>17</v>
      </c>
      <c r="I33" s="125" t="s">
        <v>38</v>
      </c>
      <c r="J33" s="220"/>
      <c r="K33" s="109">
        <v>2972</v>
      </c>
      <c r="L33" s="60">
        <v>2972</v>
      </c>
      <c r="M33" s="122">
        <v>0</v>
      </c>
      <c r="N33" s="9">
        <f>L33-M33</f>
        <v>2972</v>
      </c>
      <c r="O33" s="10">
        <f>L33/K33</f>
        <v>1</v>
      </c>
      <c r="P33" s="9">
        <f>K33-L33</f>
        <v>0</v>
      </c>
      <c r="Q33" s="211" t="s">
        <v>292</v>
      </c>
      <c r="R33" s="131"/>
      <c r="S33" s="75"/>
      <c r="T33" s="75"/>
      <c r="U33" s="75"/>
      <c r="V33" s="75"/>
      <c r="X33" s="75"/>
      <c r="AF33" s="16"/>
    </row>
    <row r="34" spans="2:32" ht="72">
      <c r="B34" s="127" t="s">
        <v>299</v>
      </c>
      <c r="C34" s="128" t="s">
        <v>294</v>
      </c>
      <c r="D34" s="52" t="s">
        <v>13</v>
      </c>
      <c r="E34" s="129" t="s">
        <v>246</v>
      </c>
      <c r="F34" s="130" t="s">
        <v>85</v>
      </c>
      <c r="G34" s="220"/>
      <c r="H34" s="124" t="s">
        <v>17</v>
      </c>
      <c r="I34" s="125" t="s">
        <v>38</v>
      </c>
      <c r="J34" s="220"/>
      <c r="K34" s="109">
        <v>3500</v>
      </c>
      <c r="L34" s="60">
        <v>3500</v>
      </c>
      <c r="M34" s="122">
        <v>0</v>
      </c>
      <c r="N34" s="9">
        <f>L34-M34</f>
        <v>3500</v>
      </c>
      <c r="O34" s="10">
        <f>L34/K34</f>
        <v>1</v>
      </c>
      <c r="P34" s="9">
        <f>K34-L34</f>
        <v>0</v>
      </c>
      <c r="Q34" s="211" t="s">
        <v>300</v>
      </c>
      <c r="R34" s="131"/>
      <c r="S34" s="75"/>
      <c r="T34" s="75"/>
      <c r="U34" s="75"/>
      <c r="V34" s="75"/>
      <c r="X34" s="75"/>
      <c r="AF34" s="16"/>
    </row>
    <row r="35" spans="2:32" ht="90">
      <c r="B35" s="127" t="s">
        <v>301</v>
      </c>
      <c r="C35" s="128" t="s">
        <v>45</v>
      </c>
      <c r="D35" s="52" t="s">
        <v>13</v>
      </c>
      <c r="E35" s="129" t="s">
        <v>36</v>
      </c>
      <c r="F35" s="130" t="s">
        <v>46</v>
      </c>
      <c r="G35" s="220"/>
      <c r="H35" s="124" t="s">
        <v>17</v>
      </c>
      <c r="I35" s="125" t="s">
        <v>38</v>
      </c>
      <c r="J35" s="220"/>
      <c r="K35" s="109">
        <v>900</v>
      </c>
      <c r="L35" s="60">
        <v>900</v>
      </c>
      <c r="M35" s="122">
        <v>0</v>
      </c>
      <c r="N35" s="9">
        <f>L35-M35</f>
        <v>900</v>
      </c>
      <c r="O35" s="10">
        <f>L35/K35</f>
        <v>1</v>
      </c>
      <c r="P35" s="9">
        <f>K35-L35</f>
        <v>0</v>
      </c>
      <c r="Q35" s="237" t="s">
        <v>302</v>
      </c>
      <c r="R35" s="131"/>
      <c r="S35" s="75"/>
      <c r="T35" s="75"/>
      <c r="U35" s="75"/>
      <c r="V35" s="75"/>
      <c r="X35" s="75"/>
      <c r="AF35" s="16"/>
    </row>
    <row r="36" spans="2:32" ht="24">
      <c r="B36" s="127" t="s">
        <v>284</v>
      </c>
      <c r="C36" s="128" t="s">
        <v>294</v>
      </c>
      <c r="D36" s="52" t="s">
        <v>13</v>
      </c>
      <c r="E36" s="129" t="s">
        <v>85</v>
      </c>
      <c r="F36" s="130" t="s">
        <v>42</v>
      </c>
      <c r="G36" s="220"/>
      <c r="H36" s="124" t="s">
        <v>17</v>
      </c>
      <c r="I36" s="125" t="s">
        <v>38</v>
      </c>
      <c r="J36" s="220"/>
      <c r="K36" s="109">
        <v>19168</v>
      </c>
      <c r="L36" s="60">
        <v>19168</v>
      </c>
      <c r="M36" s="122">
        <v>0</v>
      </c>
      <c r="N36" s="9">
        <f>L36-M36</f>
        <v>19168</v>
      </c>
      <c r="O36" s="10">
        <f>L36/K36</f>
        <v>1</v>
      </c>
      <c r="P36" s="9">
        <f>K36-L36</f>
        <v>0</v>
      </c>
      <c r="Q36" s="211" t="s">
        <v>292</v>
      </c>
      <c r="R36" s="131"/>
      <c r="S36" s="75"/>
      <c r="T36" s="75"/>
      <c r="U36" s="75"/>
      <c r="V36" s="75"/>
      <c r="X36" s="75"/>
      <c r="AF36" s="16"/>
    </row>
    <row r="37" spans="2:32" ht="54">
      <c r="B37" s="127" t="s">
        <v>303</v>
      </c>
      <c r="C37" s="128" t="s">
        <v>54</v>
      </c>
      <c r="D37" s="52" t="s">
        <v>13</v>
      </c>
      <c r="E37" s="129" t="s">
        <v>42</v>
      </c>
      <c r="F37" s="130" t="s">
        <v>42</v>
      </c>
      <c r="G37" s="220"/>
      <c r="H37" s="124" t="s">
        <v>17</v>
      </c>
      <c r="I37" s="125" t="s">
        <v>38</v>
      </c>
      <c r="J37" s="220"/>
      <c r="K37" s="109">
        <v>34125</v>
      </c>
      <c r="L37" s="60">
        <v>34125</v>
      </c>
      <c r="M37" s="122">
        <v>0</v>
      </c>
      <c r="N37" s="9">
        <f>L37-M37</f>
        <v>34125</v>
      </c>
      <c r="O37" s="10">
        <f>L37/K37</f>
        <v>1</v>
      </c>
      <c r="P37" s="9">
        <f>K37-L37</f>
        <v>0</v>
      </c>
      <c r="Q37" s="211" t="s">
        <v>292</v>
      </c>
      <c r="R37" s="131"/>
      <c r="S37" s="75"/>
      <c r="T37" s="75"/>
      <c r="U37" s="75"/>
      <c r="V37" s="75"/>
      <c r="W37" t="s">
        <v>304</v>
      </c>
      <c r="X37" s="75"/>
      <c r="AF37" s="16"/>
    </row>
    <row r="38" spans="2:32" ht="54">
      <c r="B38" s="127" t="s">
        <v>303</v>
      </c>
      <c r="C38" s="128" t="s">
        <v>54</v>
      </c>
      <c r="D38" s="52" t="s">
        <v>13</v>
      </c>
      <c r="E38" s="129" t="s">
        <v>42</v>
      </c>
      <c r="F38" s="130" t="s">
        <v>42</v>
      </c>
      <c r="G38" s="220"/>
      <c r="H38" s="124" t="s">
        <v>17</v>
      </c>
      <c r="I38" s="125" t="s">
        <v>38</v>
      </c>
      <c r="J38" s="220"/>
      <c r="K38" s="109">
        <v>58000</v>
      </c>
      <c r="L38" s="60">
        <v>58000</v>
      </c>
      <c r="M38" s="122">
        <v>0</v>
      </c>
      <c r="N38" s="9">
        <f>L38-M38</f>
        <v>58000</v>
      </c>
      <c r="O38" s="10">
        <f>L38/K38</f>
        <v>1</v>
      </c>
      <c r="P38" s="9">
        <f>K38-L38</f>
        <v>0</v>
      </c>
      <c r="Q38" s="211" t="s">
        <v>305</v>
      </c>
      <c r="R38" s="131"/>
      <c r="S38" s="75"/>
      <c r="T38" s="75"/>
      <c r="U38" s="75"/>
      <c r="V38" s="75"/>
      <c r="W38" t="s">
        <v>13</v>
      </c>
      <c r="X38" s="75"/>
      <c r="AF38" s="16"/>
    </row>
    <row r="39" spans="2:32" ht="54">
      <c r="B39" s="127" t="s">
        <v>303</v>
      </c>
      <c r="C39" s="128" t="s">
        <v>54</v>
      </c>
      <c r="D39" s="52" t="s">
        <v>13</v>
      </c>
      <c r="E39" s="129" t="s">
        <v>42</v>
      </c>
      <c r="F39" s="130" t="s">
        <v>42</v>
      </c>
      <c r="G39" s="220"/>
      <c r="H39" s="124" t="s">
        <v>17</v>
      </c>
      <c r="I39" s="125" t="s">
        <v>38</v>
      </c>
      <c r="J39" s="220"/>
      <c r="K39" s="109">
        <v>6500</v>
      </c>
      <c r="L39" s="60">
        <v>6500</v>
      </c>
      <c r="M39" s="122">
        <v>0</v>
      </c>
      <c r="N39" s="9">
        <f>L39-M39</f>
        <v>6500</v>
      </c>
      <c r="O39" s="10">
        <f>L39/K39</f>
        <v>1</v>
      </c>
      <c r="P39" s="9">
        <f>K39-L39</f>
        <v>0</v>
      </c>
      <c r="Q39" s="211" t="s">
        <v>292</v>
      </c>
      <c r="R39" s="131"/>
      <c r="S39" s="75"/>
      <c r="T39" s="75"/>
      <c r="U39" s="75"/>
      <c r="V39" s="75"/>
      <c r="W39" t="s">
        <v>306</v>
      </c>
      <c r="X39" s="75"/>
      <c r="AF39" s="16"/>
    </row>
    <row r="40" spans="2:32" ht="36">
      <c r="B40" s="127" t="s">
        <v>270</v>
      </c>
      <c r="C40" s="128" t="s">
        <v>307</v>
      </c>
      <c r="D40" s="52" t="s">
        <v>13</v>
      </c>
      <c r="E40" s="129" t="s">
        <v>36</v>
      </c>
      <c r="F40" s="130" t="s">
        <v>46</v>
      </c>
      <c r="G40" s="220"/>
      <c r="H40" s="124" t="s">
        <v>17</v>
      </c>
      <c r="I40" s="125" t="s">
        <v>38</v>
      </c>
      <c r="J40" s="220"/>
      <c r="K40" s="109">
        <v>5925.3</v>
      </c>
      <c r="L40" s="60">
        <v>5925.3</v>
      </c>
      <c r="M40" s="122">
        <v>0</v>
      </c>
      <c r="N40" s="9">
        <f>L40-M40</f>
        <v>5925.3</v>
      </c>
      <c r="O40" s="10">
        <f>L40/K40</f>
        <v>1</v>
      </c>
      <c r="P40" s="9">
        <f>K40-L40</f>
        <v>0</v>
      </c>
      <c r="Q40" s="211" t="s">
        <v>308</v>
      </c>
      <c r="R40" s="131"/>
      <c r="S40" s="75"/>
      <c r="T40" s="75"/>
      <c r="U40" s="75"/>
      <c r="V40" s="75"/>
      <c r="X40" s="75"/>
      <c r="AF40" s="16"/>
    </row>
    <row r="41" spans="2:32" ht="54">
      <c r="B41" s="127" t="s">
        <v>309</v>
      </c>
      <c r="C41" s="128" t="s">
        <v>310</v>
      </c>
      <c r="D41" s="52" t="s">
        <v>13</v>
      </c>
      <c r="E41" s="129" t="s">
        <v>36</v>
      </c>
      <c r="F41" s="130" t="s">
        <v>46</v>
      </c>
      <c r="G41" s="220"/>
      <c r="H41" s="124" t="s">
        <v>17</v>
      </c>
      <c r="I41" s="125" t="s">
        <v>38</v>
      </c>
      <c r="J41" s="220"/>
      <c r="K41" s="109">
        <v>1085.3</v>
      </c>
      <c r="L41" s="60">
        <v>1085.3</v>
      </c>
      <c r="M41" s="122">
        <v>0</v>
      </c>
      <c r="N41" s="9">
        <f>L41-M41</f>
        <v>1085.3</v>
      </c>
      <c r="O41" s="10">
        <f>L41/K41</f>
        <v>1</v>
      </c>
      <c r="P41" s="9">
        <f>K41-L41</f>
        <v>0</v>
      </c>
      <c r="Q41" s="211" t="s">
        <v>308</v>
      </c>
      <c r="R41" s="131"/>
      <c r="S41" s="75"/>
      <c r="T41" s="75"/>
      <c r="U41" s="75"/>
      <c r="V41" s="75"/>
      <c r="X41" s="75"/>
      <c r="AF41" s="16"/>
    </row>
    <row r="42" spans="2:32" ht="36">
      <c r="B42" s="127" t="s">
        <v>311</v>
      </c>
      <c r="C42" s="128" t="s">
        <v>249</v>
      </c>
      <c r="D42" s="52" t="s">
        <v>13</v>
      </c>
      <c r="E42" s="129" t="s">
        <v>229</v>
      </c>
      <c r="F42" s="130" t="s">
        <v>229</v>
      </c>
      <c r="G42" s="220"/>
      <c r="H42" s="124" t="s">
        <v>17</v>
      </c>
      <c r="I42" s="125" t="s">
        <v>38</v>
      </c>
      <c r="J42" s="220"/>
      <c r="K42" s="109">
        <v>250</v>
      </c>
      <c r="L42" s="60">
        <v>0</v>
      </c>
      <c r="M42" s="122">
        <v>0</v>
      </c>
      <c r="N42" s="9">
        <f>L42-M42</f>
        <v>0</v>
      </c>
      <c r="O42" s="10">
        <f>L42/K42</f>
        <v>0</v>
      </c>
      <c r="P42" s="9">
        <f>K42-L42</f>
        <v>250</v>
      </c>
      <c r="Q42" s="211" t="s">
        <v>292</v>
      </c>
      <c r="R42" s="131"/>
      <c r="S42" s="75"/>
      <c r="T42" s="75"/>
      <c r="U42" s="75"/>
      <c r="V42" s="75"/>
      <c r="X42" s="75"/>
      <c r="AF42" s="16"/>
    </row>
    <row r="43" spans="2:32" ht="36">
      <c r="B43" s="127" t="s">
        <v>312</v>
      </c>
      <c r="C43" s="128" t="s">
        <v>313</v>
      </c>
      <c r="D43" s="52" t="s">
        <v>13</v>
      </c>
      <c r="E43" s="129" t="s">
        <v>85</v>
      </c>
      <c r="F43" s="130" t="s">
        <v>85</v>
      </c>
      <c r="G43" s="220"/>
      <c r="H43" s="124" t="s">
        <v>17</v>
      </c>
      <c r="I43" s="125" t="s">
        <v>38</v>
      </c>
      <c r="J43" s="220"/>
      <c r="K43" s="109">
        <v>4150</v>
      </c>
      <c r="L43" s="60">
        <v>4150</v>
      </c>
      <c r="M43" s="122">
        <v>0</v>
      </c>
      <c r="N43" s="9">
        <f>L43-M43</f>
        <v>4150</v>
      </c>
      <c r="O43" s="10">
        <f>L43/K43</f>
        <v>1</v>
      </c>
      <c r="P43" s="9">
        <f>K43-L43</f>
        <v>0</v>
      </c>
      <c r="Q43" s="211" t="s">
        <v>292</v>
      </c>
      <c r="R43" s="131"/>
      <c r="S43" s="75"/>
      <c r="T43" s="75"/>
      <c r="U43" s="75"/>
      <c r="V43" s="75"/>
      <c r="X43" s="75"/>
      <c r="AF43" s="16"/>
    </row>
    <row r="44" spans="2:32" ht="36">
      <c r="B44" s="127" t="s">
        <v>314</v>
      </c>
      <c r="C44" s="128" t="s">
        <v>315</v>
      </c>
      <c r="D44" s="52" t="s">
        <v>13</v>
      </c>
      <c r="E44" s="129" t="s">
        <v>36</v>
      </c>
      <c r="F44" s="130" t="s">
        <v>148</v>
      </c>
      <c r="G44" s="220"/>
      <c r="H44" s="124" t="s">
        <v>17</v>
      </c>
      <c r="I44" s="125" t="s">
        <v>38</v>
      </c>
      <c r="J44" s="220"/>
      <c r="K44" s="109">
        <v>5632.45</v>
      </c>
      <c r="L44" s="60">
        <v>5632.45</v>
      </c>
      <c r="M44" s="122">
        <v>0</v>
      </c>
      <c r="N44" s="9">
        <f>L44-M44</f>
        <v>5632.45</v>
      </c>
      <c r="O44" s="10">
        <f>L44/K44</f>
        <v>1</v>
      </c>
      <c r="P44" s="9">
        <f>K44-L44</f>
        <v>0</v>
      </c>
      <c r="Q44" s="211"/>
      <c r="R44" s="131"/>
      <c r="S44" s="75"/>
      <c r="T44" s="75"/>
      <c r="U44" s="75"/>
      <c r="V44" s="75"/>
      <c r="X44" s="75"/>
      <c r="AF44" s="16"/>
    </row>
    <row r="45" spans="2:32" ht="24">
      <c r="B45" s="127" t="s">
        <v>316</v>
      </c>
      <c r="C45" s="128" t="s">
        <v>189</v>
      </c>
      <c r="D45" s="52" t="s">
        <v>13</v>
      </c>
      <c r="E45" s="129" t="s">
        <v>46</v>
      </c>
      <c r="F45" s="130" t="s">
        <v>246</v>
      </c>
      <c r="G45" s="220"/>
      <c r="H45" s="124" t="s">
        <v>17</v>
      </c>
      <c r="I45" s="125" t="s">
        <v>38</v>
      </c>
      <c r="J45" s="220"/>
      <c r="K45" s="109">
        <v>2950</v>
      </c>
      <c r="L45" s="60">
        <v>2950</v>
      </c>
      <c r="M45" s="122">
        <v>0</v>
      </c>
      <c r="N45" s="9">
        <f>L45-M45</f>
        <v>2950</v>
      </c>
      <c r="O45" s="10">
        <f>L45/K45</f>
        <v>1</v>
      </c>
      <c r="P45" s="9">
        <f>K45-L45</f>
        <v>0</v>
      </c>
      <c r="Q45" s="211"/>
      <c r="R45" s="131"/>
      <c r="S45" s="75"/>
      <c r="T45" s="75"/>
      <c r="U45" s="75"/>
      <c r="V45" s="75"/>
      <c r="X45" s="75"/>
      <c r="AF45" s="16"/>
    </row>
    <row r="46" spans="2:32" ht="36">
      <c r="B46" s="127" t="s">
        <v>317</v>
      </c>
      <c r="C46" s="128" t="s">
        <v>189</v>
      </c>
      <c r="D46" s="52" t="s">
        <v>13</v>
      </c>
      <c r="E46" s="129" t="s">
        <v>246</v>
      </c>
      <c r="F46" s="130" t="s">
        <v>246</v>
      </c>
      <c r="G46" s="220"/>
      <c r="H46" s="124" t="s">
        <v>17</v>
      </c>
      <c r="I46" s="125" t="s">
        <v>38</v>
      </c>
      <c r="J46" s="220"/>
      <c r="K46" s="109">
        <v>2650</v>
      </c>
      <c r="L46" s="60">
        <v>2650</v>
      </c>
      <c r="M46" s="122">
        <v>0</v>
      </c>
      <c r="N46" s="9">
        <f>L46-M46</f>
        <v>2650</v>
      </c>
      <c r="O46" s="10">
        <f>L46/K46</f>
        <v>1</v>
      </c>
      <c r="P46" s="9">
        <f>K46-L46</f>
        <v>0</v>
      </c>
      <c r="Q46" s="211" t="s">
        <v>292</v>
      </c>
      <c r="R46" s="131"/>
      <c r="S46" s="75"/>
      <c r="T46" s="75"/>
      <c r="U46" s="75"/>
      <c r="V46" s="75"/>
      <c r="X46" s="75"/>
      <c r="AF46" s="16"/>
    </row>
    <row r="47" spans="2:32" ht="42">
      <c r="B47" s="127" t="s">
        <v>317</v>
      </c>
      <c r="C47" s="128" t="s">
        <v>189</v>
      </c>
      <c r="D47" s="52" t="s">
        <v>13</v>
      </c>
      <c r="E47" s="129" t="s">
        <v>246</v>
      </c>
      <c r="F47" s="130" t="s">
        <v>246</v>
      </c>
      <c r="G47" s="220"/>
      <c r="H47" s="124" t="s">
        <v>17</v>
      </c>
      <c r="I47" s="125" t="s">
        <v>253</v>
      </c>
      <c r="J47" s="220"/>
      <c r="K47" s="109">
        <v>6875</v>
      </c>
      <c r="L47" s="60">
        <v>6875</v>
      </c>
      <c r="M47" s="122">
        <v>0</v>
      </c>
      <c r="N47" s="9">
        <f>L47-M47</f>
        <v>6875</v>
      </c>
      <c r="O47" s="10">
        <f>L47/K47</f>
        <v>1</v>
      </c>
      <c r="P47" s="9">
        <f>K47-L47</f>
        <v>0</v>
      </c>
      <c r="Q47" s="211" t="s">
        <v>292</v>
      </c>
      <c r="R47" s="131"/>
      <c r="S47" s="75"/>
      <c r="T47" s="75"/>
      <c r="U47" s="75"/>
      <c r="V47" s="75"/>
      <c r="X47" s="75"/>
      <c r="AF47" s="16"/>
    </row>
    <row r="48" spans="2:32" ht="72">
      <c r="B48" s="127" t="s">
        <v>318</v>
      </c>
      <c r="C48" s="128" t="s">
        <v>189</v>
      </c>
      <c r="D48" s="52" t="s">
        <v>13</v>
      </c>
      <c r="E48" s="129" t="s">
        <v>85</v>
      </c>
      <c r="F48" s="130" t="s">
        <v>85</v>
      </c>
      <c r="G48" s="220"/>
      <c r="H48" s="124" t="s">
        <v>17</v>
      </c>
      <c r="I48" s="125" t="s">
        <v>38</v>
      </c>
      <c r="J48" s="220"/>
      <c r="K48" s="109">
        <v>2400</v>
      </c>
      <c r="L48" s="60">
        <v>2400</v>
      </c>
      <c r="M48" s="122">
        <v>0</v>
      </c>
      <c r="N48" s="9">
        <f>L48-M48</f>
        <v>2400</v>
      </c>
      <c r="O48" s="10">
        <f>L48/K48</f>
        <v>1</v>
      </c>
      <c r="P48" s="9">
        <f>K48-L48</f>
        <v>0</v>
      </c>
      <c r="Q48" s="211" t="s">
        <v>292</v>
      </c>
      <c r="R48" s="131"/>
      <c r="S48" s="75"/>
      <c r="T48" s="75"/>
      <c r="U48" s="75"/>
      <c r="V48" s="75"/>
      <c r="X48" s="75"/>
      <c r="AF48" s="16"/>
    </row>
    <row r="49" spans="2:33" ht="24" hidden="1">
      <c r="B49" s="127" t="s">
        <v>319</v>
      </c>
      <c r="C49" s="128" t="s">
        <v>320</v>
      </c>
      <c r="D49" s="52" t="s">
        <v>13</v>
      </c>
      <c r="E49" s="129" t="s">
        <v>89</v>
      </c>
      <c r="F49" s="130" t="s">
        <v>89</v>
      </c>
      <c r="G49" s="220"/>
      <c r="H49" s="124" t="s">
        <v>17</v>
      </c>
      <c r="I49" s="125" t="s">
        <v>38</v>
      </c>
      <c r="J49" s="220"/>
      <c r="K49" s="109">
        <v>3100</v>
      </c>
      <c r="L49" s="60">
        <v>3100</v>
      </c>
      <c r="M49" s="122">
        <v>0</v>
      </c>
      <c r="N49" s="9">
        <f>L49-M49</f>
        <v>3100</v>
      </c>
      <c r="O49" s="10">
        <f>L49/K49</f>
        <v>1</v>
      </c>
      <c r="P49" s="9">
        <f>K49-L49</f>
        <v>0</v>
      </c>
      <c r="Q49" s="211"/>
      <c r="R49" s="131"/>
      <c r="S49" s="75"/>
      <c r="T49" s="75"/>
      <c r="U49" s="75"/>
      <c r="V49" s="75"/>
      <c r="X49" s="75"/>
      <c r="AF49" s="16"/>
    </row>
    <row r="50" spans="2:33" ht="36" hidden="1">
      <c r="B50" s="127" t="s">
        <v>321</v>
      </c>
      <c r="C50" s="128" t="s">
        <v>315</v>
      </c>
      <c r="D50" s="52" t="s">
        <v>306</v>
      </c>
      <c r="E50" s="129" t="s">
        <v>89</v>
      </c>
      <c r="F50" s="130" t="s">
        <v>89</v>
      </c>
      <c r="G50" s="220"/>
      <c r="H50" s="124" t="s">
        <v>17</v>
      </c>
      <c r="I50" s="125" t="s">
        <v>38</v>
      </c>
      <c r="J50" s="220"/>
      <c r="K50" s="109">
        <v>750</v>
      </c>
      <c r="L50" s="60">
        <v>750</v>
      </c>
      <c r="M50" s="111">
        <v>0</v>
      </c>
      <c r="N50" s="9">
        <f>L50-M50</f>
        <v>750</v>
      </c>
      <c r="O50" s="10">
        <f>L50/K50</f>
        <v>1</v>
      </c>
      <c r="P50" s="9">
        <f>K50-L50</f>
        <v>0</v>
      </c>
      <c r="Q50" s="211"/>
      <c r="R50" s="131"/>
      <c r="S50" s="75"/>
      <c r="T50" s="75"/>
      <c r="U50" s="75"/>
      <c r="V50" s="75"/>
      <c r="X50" s="75"/>
      <c r="AA50" t="s">
        <v>70</v>
      </c>
      <c r="AF50" s="16"/>
    </row>
    <row r="51" spans="2:33" ht="22.5" hidden="1">
      <c r="B51" s="85" t="s">
        <v>322</v>
      </c>
      <c r="C51" s="54"/>
      <c r="D51" s="52"/>
      <c r="E51" s="96" t="s">
        <v>89</v>
      </c>
      <c r="F51" s="97" t="s">
        <v>89</v>
      </c>
      <c r="G51" s="220"/>
      <c r="H51" s="103" t="s">
        <v>17</v>
      </c>
      <c r="I51" s="125" t="s">
        <v>38</v>
      </c>
      <c r="J51" s="220"/>
      <c r="K51" s="89">
        <v>4750</v>
      </c>
      <c r="L51" s="9">
        <v>2375</v>
      </c>
      <c r="M51" s="111">
        <v>2375</v>
      </c>
      <c r="N51" s="9">
        <f>L51-M51</f>
        <v>0</v>
      </c>
      <c r="O51" s="10">
        <f>L51/K51</f>
        <v>0.5</v>
      </c>
      <c r="P51" s="9">
        <f>K51-L51</f>
        <v>2375</v>
      </c>
      <c r="Q51" s="212" t="s">
        <v>323</v>
      </c>
      <c r="R51" s="53" t="s">
        <v>55</v>
      </c>
      <c r="S51" s="181"/>
      <c r="T51" s="181"/>
      <c r="U51" s="181"/>
      <c r="V51" s="181"/>
      <c r="X51" s="181"/>
      <c r="AA51" t="s">
        <v>56</v>
      </c>
      <c r="AF51" s="16"/>
    </row>
    <row r="52" spans="2:33" ht="24" hidden="1">
      <c r="B52" s="85" t="s">
        <v>322</v>
      </c>
      <c r="C52" s="54"/>
      <c r="D52" s="52"/>
      <c r="E52" s="96" t="s">
        <v>89</v>
      </c>
      <c r="F52" s="97" t="s">
        <v>89</v>
      </c>
      <c r="G52" s="220"/>
      <c r="H52" s="103" t="s">
        <v>17</v>
      </c>
      <c r="I52" s="125" t="s">
        <v>38</v>
      </c>
      <c r="J52" s="220"/>
      <c r="K52" s="89">
        <v>1650</v>
      </c>
      <c r="L52" s="9">
        <v>1650</v>
      </c>
      <c r="M52" s="111">
        <v>1650</v>
      </c>
      <c r="N52" s="9">
        <f>L52-M52</f>
        <v>0</v>
      </c>
      <c r="O52" s="10">
        <f>L52/K52</f>
        <v>1</v>
      </c>
      <c r="P52" s="9">
        <f>K52-L52</f>
        <v>0</v>
      </c>
      <c r="Q52" s="213" t="s">
        <v>324</v>
      </c>
      <c r="R52" s="53" t="s">
        <v>64</v>
      </c>
      <c r="AA52" t="s">
        <v>67</v>
      </c>
      <c r="AF52" s="16"/>
    </row>
    <row r="53" spans="2:33" ht="36" hidden="1">
      <c r="B53" s="86" t="s">
        <v>325</v>
      </c>
      <c r="C53" s="54" t="s">
        <v>245</v>
      </c>
      <c r="D53" s="52"/>
      <c r="E53" s="96" t="s">
        <v>89</v>
      </c>
      <c r="F53" s="97" t="s">
        <v>89</v>
      </c>
      <c r="G53" s="220"/>
      <c r="H53" s="103" t="s">
        <v>17</v>
      </c>
      <c r="I53" s="125" t="s">
        <v>38</v>
      </c>
      <c r="J53" s="220"/>
      <c r="K53" s="89">
        <v>350</v>
      </c>
      <c r="L53" s="9">
        <v>350</v>
      </c>
      <c r="M53" s="111">
        <v>350</v>
      </c>
      <c r="N53" s="9">
        <f>L53-M53</f>
        <v>0</v>
      </c>
      <c r="O53" s="10">
        <f>L53/K53</f>
        <v>1</v>
      </c>
      <c r="P53" s="9">
        <f>K53-L53</f>
        <v>0</v>
      </c>
      <c r="Q53" s="213" t="s">
        <v>326</v>
      </c>
      <c r="R53" s="53"/>
      <c r="AA53" t="s">
        <v>70</v>
      </c>
      <c r="AF53" s="16"/>
    </row>
    <row r="54" spans="2:33" ht="36" hidden="1">
      <c r="B54" s="85" t="s">
        <v>325</v>
      </c>
      <c r="C54" s="54" t="s">
        <v>245</v>
      </c>
      <c r="D54" s="52"/>
      <c r="E54" s="96" t="s">
        <v>89</v>
      </c>
      <c r="F54" s="97" t="s">
        <v>89</v>
      </c>
      <c r="G54" s="220"/>
      <c r="H54" s="103" t="s">
        <v>17</v>
      </c>
      <c r="I54" s="125" t="s">
        <v>38</v>
      </c>
      <c r="J54" s="220"/>
      <c r="K54" s="89">
        <v>1250</v>
      </c>
      <c r="L54" s="9">
        <v>1250</v>
      </c>
      <c r="M54" s="111">
        <v>0</v>
      </c>
      <c r="N54" s="9">
        <f>L54-M54</f>
        <v>1250</v>
      </c>
      <c r="O54" s="10">
        <f>L54/K54</f>
        <v>1</v>
      </c>
      <c r="P54" s="9">
        <f>K54-L54</f>
        <v>0</v>
      </c>
      <c r="Q54" s="214"/>
      <c r="R54" s="53" t="s">
        <v>55</v>
      </c>
      <c r="S54" s="77"/>
      <c r="T54" s="77"/>
      <c r="U54" s="77"/>
      <c r="V54" s="77"/>
      <c r="X54" s="77"/>
      <c r="AA54" t="s">
        <v>17</v>
      </c>
      <c r="AF54" s="16"/>
    </row>
    <row r="55" spans="2:33" ht="72" hidden="1">
      <c r="B55" s="86" t="s">
        <v>325</v>
      </c>
      <c r="C55" s="54" t="s">
        <v>245</v>
      </c>
      <c r="D55" s="52"/>
      <c r="E55" s="96" t="s">
        <v>89</v>
      </c>
      <c r="F55" s="97" t="s">
        <v>89</v>
      </c>
      <c r="G55" s="220"/>
      <c r="H55" s="104" t="s">
        <v>17</v>
      </c>
      <c r="I55" s="125" t="s">
        <v>38</v>
      </c>
      <c r="J55" s="220"/>
      <c r="K55" s="89">
        <v>1250</v>
      </c>
      <c r="L55" s="9">
        <v>1250</v>
      </c>
      <c r="M55" s="111">
        <v>0</v>
      </c>
      <c r="N55" s="9">
        <f>L55-M55</f>
        <v>1250</v>
      </c>
      <c r="O55" s="112">
        <f>L55/K55</f>
        <v>1</v>
      </c>
      <c r="P55" s="9">
        <f>K55-L55</f>
        <v>0</v>
      </c>
      <c r="Q55" s="214"/>
      <c r="R55" s="53" t="s">
        <v>64</v>
      </c>
      <c r="S55" s="77"/>
      <c r="T55" s="77"/>
      <c r="U55" s="77"/>
      <c r="V55" s="77"/>
      <c r="X55" s="77"/>
      <c r="AA55" t="s">
        <v>37</v>
      </c>
      <c r="AF55" s="17" t="s">
        <v>91</v>
      </c>
    </row>
    <row r="56" spans="2:33" ht="54" hidden="1">
      <c r="B56" s="85" t="s">
        <v>327</v>
      </c>
      <c r="C56" s="54" t="s">
        <v>54</v>
      </c>
      <c r="D56" s="52" t="s">
        <v>13</v>
      </c>
      <c r="E56" s="96" t="s">
        <v>89</v>
      </c>
      <c r="F56" s="98" t="s">
        <v>89</v>
      </c>
      <c r="G56" s="220"/>
      <c r="H56" s="105" t="s">
        <v>17</v>
      </c>
      <c r="I56" s="125" t="s">
        <v>38</v>
      </c>
      <c r="J56" s="220"/>
      <c r="K56" s="89">
        <v>4000</v>
      </c>
      <c r="L56" s="9">
        <v>4000</v>
      </c>
      <c r="M56" s="111">
        <v>0</v>
      </c>
      <c r="N56" s="9">
        <f>L56-M56</f>
        <v>4000</v>
      </c>
      <c r="O56" s="112">
        <f>L56/K56</f>
        <v>1</v>
      </c>
      <c r="P56" s="9">
        <f>K56-L56</f>
        <v>0</v>
      </c>
      <c r="Q56" s="215"/>
      <c r="R56" s="121" t="s">
        <v>55</v>
      </c>
      <c r="S56" s="78"/>
      <c r="T56" s="78"/>
      <c r="U56" s="78"/>
      <c r="V56" s="78"/>
      <c r="X56" s="78"/>
      <c r="AA56" t="s">
        <v>90</v>
      </c>
      <c r="AF56" s="16" t="s">
        <v>221</v>
      </c>
    </row>
    <row r="57" spans="2:33" ht="61.5" customHeight="1">
      <c r="B57" s="86"/>
      <c r="C57" s="54"/>
      <c r="D57" s="52"/>
      <c r="E57" s="96"/>
      <c r="F57" s="99"/>
      <c r="G57" s="220"/>
      <c r="H57" s="103"/>
      <c r="I57" s="125"/>
      <c r="J57" s="220"/>
      <c r="K57" s="90"/>
      <c r="L57" s="11"/>
      <c r="M57" s="111"/>
      <c r="N57" s="9"/>
      <c r="O57" s="10"/>
      <c r="P57" s="9"/>
      <c r="Q57" s="116"/>
      <c r="R57" s="121"/>
      <c r="S57" s="77"/>
      <c r="T57" s="77"/>
      <c r="U57" s="77"/>
      <c r="V57" s="77"/>
      <c r="X57" s="77"/>
      <c r="AF57" s="19"/>
      <c r="AG57" s="24"/>
    </row>
    <row r="58" spans="2:33" ht="22.5">
      <c r="B58" s="86"/>
      <c r="C58" s="100"/>
      <c r="D58" s="52"/>
      <c r="E58" s="101"/>
      <c r="F58" s="99"/>
      <c r="G58" s="220"/>
      <c r="H58" s="103"/>
      <c r="I58" s="125"/>
      <c r="J58" s="220"/>
      <c r="K58" s="90"/>
      <c r="L58" s="11"/>
      <c r="M58" s="111">
        <v>0</v>
      </c>
      <c r="N58" s="9">
        <f>L58-M58</f>
        <v>0</v>
      </c>
      <c r="O58" s="10" t="e">
        <f>L58/K58</f>
        <v>#DIV/0!</v>
      </c>
      <c r="P58" s="9">
        <f>K58-L58</f>
        <v>0</v>
      </c>
      <c r="Q58" s="117"/>
      <c r="R58" s="121" t="s">
        <v>55</v>
      </c>
      <c r="S58" s="77"/>
      <c r="T58" s="77"/>
      <c r="U58" s="77"/>
      <c r="V58" s="77"/>
      <c r="X58" s="77"/>
      <c r="AF58" s="19"/>
      <c r="AG58" s="24"/>
    </row>
    <row r="59" spans="2:33" ht="22.5">
      <c r="B59" s="86"/>
      <c r="C59" s="100"/>
      <c r="D59" s="52"/>
      <c r="E59" s="101"/>
      <c r="F59" s="99"/>
      <c r="G59" s="220"/>
      <c r="H59" s="103"/>
      <c r="I59" s="125"/>
      <c r="J59" s="220"/>
      <c r="K59" s="90"/>
      <c r="L59" s="11"/>
      <c r="M59" s="111"/>
      <c r="N59" s="9">
        <f>L59-M59</f>
        <v>0</v>
      </c>
      <c r="O59" s="10" t="e">
        <f>L59/K59</f>
        <v>#DIV/0!</v>
      </c>
      <c r="P59" s="9">
        <f>K59-L59</f>
        <v>0</v>
      </c>
      <c r="Q59" s="118"/>
      <c r="R59" s="121"/>
      <c r="S59" s="77"/>
      <c r="T59" s="77"/>
      <c r="U59" s="77"/>
      <c r="V59" s="77"/>
      <c r="X59" s="77"/>
      <c r="AF59" s="19"/>
      <c r="AG59" s="24"/>
    </row>
    <row r="60" spans="2:33" ht="22.5">
      <c r="B60" s="86"/>
      <c r="C60" s="100"/>
      <c r="D60" s="52"/>
      <c r="E60" s="101"/>
      <c r="F60" s="99"/>
      <c r="G60" s="220"/>
      <c r="H60" s="103"/>
      <c r="I60" s="125"/>
      <c r="J60" s="220"/>
      <c r="K60" s="90"/>
      <c r="L60" s="11"/>
      <c r="M60" s="111">
        <v>0</v>
      </c>
      <c r="N60" s="9">
        <f>L60-M60</f>
        <v>0</v>
      </c>
      <c r="O60" s="10" t="e">
        <f>L60/K60</f>
        <v>#DIV/0!</v>
      </c>
      <c r="P60" s="9">
        <f>K60-L60</f>
        <v>0</v>
      </c>
      <c r="Q60" s="118"/>
      <c r="R60" s="121" t="s">
        <v>55</v>
      </c>
      <c r="S60" s="77"/>
      <c r="T60" s="77"/>
      <c r="U60" s="77"/>
      <c r="V60" s="77"/>
      <c r="X60" s="77"/>
      <c r="Y60" s="65"/>
      <c r="AF60" s="19"/>
      <c r="AG60" s="24"/>
    </row>
    <row r="61" spans="2:33" ht="22.5">
      <c r="B61" s="86"/>
      <c r="C61" s="100"/>
      <c r="D61" s="52"/>
      <c r="E61" s="101"/>
      <c r="F61" s="99"/>
      <c r="G61" s="220"/>
      <c r="H61" s="103"/>
      <c r="I61" s="125"/>
      <c r="J61" s="220"/>
      <c r="K61" s="90"/>
      <c r="L61" s="11"/>
      <c r="M61" s="111">
        <v>0</v>
      </c>
      <c r="N61" s="9">
        <f>L61-M61</f>
        <v>0</v>
      </c>
      <c r="O61" s="10" t="e">
        <f>L61/K61</f>
        <v>#DIV/0!</v>
      </c>
      <c r="P61" s="9">
        <f>K61-L61</f>
        <v>0</v>
      </c>
      <c r="Q61" s="119"/>
      <c r="R61" s="121" t="s">
        <v>55</v>
      </c>
      <c r="S61" s="80"/>
      <c r="T61" s="80"/>
      <c r="U61" s="80"/>
      <c r="V61" s="80"/>
      <c r="X61" s="80"/>
      <c r="AF61" s="19"/>
      <c r="AG61" s="24"/>
    </row>
    <row r="62" spans="2:33" ht="22.5">
      <c r="B62" s="86"/>
      <c r="C62" s="100"/>
      <c r="D62" s="52"/>
      <c r="E62" s="101"/>
      <c r="F62" s="99"/>
      <c r="G62" s="220"/>
      <c r="H62" s="103"/>
      <c r="I62" s="125"/>
      <c r="J62" s="220"/>
      <c r="K62" s="90"/>
      <c r="L62" s="11"/>
      <c r="M62" s="111">
        <v>0</v>
      </c>
      <c r="N62" s="9">
        <f>L62-M62</f>
        <v>0</v>
      </c>
      <c r="O62" s="10" t="e">
        <f>L62/K62</f>
        <v>#DIV/0!</v>
      </c>
      <c r="P62" s="9">
        <f>K62-L62</f>
        <v>0</v>
      </c>
      <c r="Q62" s="116"/>
      <c r="R62" s="121" t="s">
        <v>55</v>
      </c>
      <c r="S62" s="77"/>
      <c r="T62" s="77"/>
      <c r="U62" s="77"/>
      <c r="V62" s="77"/>
      <c r="X62" s="77"/>
      <c r="AF62" s="19"/>
      <c r="AG62" s="24"/>
    </row>
    <row r="63" spans="2:33" ht="22.5">
      <c r="B63" s="85"/>
      <c r="C63" s="54"/>
      <c r="D63" s="52"/>
      <c r="E63" s="96"/>
      <c r="F63" s="98"/>
      <c r="G63" s="220"/>
      <c r="H63" s="103"/>
      <c r="I63" s="125"/>
      <c r="J63" s="220"/>
      <c r="K63" s="89"/>
      <c r="L63" s="9"/>
      <c r="M63" s="111">
        <v>0</v>
      </c>
      <c r="N63" s="9">
        <f>L63-M63</f>
        <v>0</v>
      </c>
      <c r="O63" s="10" t="e">
        <f>L63/K63</f>
        <v>#DIV/0!</v>
      </c>
      <c r="P63" s="9">
        <f>K63-L63</f>
        <v>0</v>
      </c>
      <c r="Q63" s="120"/>
      <c r="R63" s="53" t="s">
        <v>55</v>
      </c>
      <c r="S63" s="61"/>
      <c r="T63" s="61"/>
      <c r="U63" s="61"/>
      <c r="V63" s="61"/>
      <c r="X63" s="61"/>
      <c r="AF63" s="57"/>
      <c r="AG63" s="55"/>
    </row>
    <row r="64" spans="2:33" ht="22.5">
      <c r="B64" s="85"/>
      <c r="C64" s="54"/>
      <c r="D64" s="52"/>
      <c r="E64" s="96"/>
      <c r="F64" s="98"/>
      <c r="G64" s="220"/>
      <c r="H64" s="103"/>
      <c r="I64" s="125"/>
      <c r="J64" s="220"/>
      <c r="K64" s="89"/>
      <c r="L64" s="9"/>
      <c r="M64" s="111">
        <v>0</v>
      </c>
      <c r="N64" s="9">
        <f>L64-M64</f>
        <v>0</v>
      </c>
      <c r="O64" s="112" t="e">
        <f>L64/K64</f>
        <v>#DIV/0!</v>
      </c>
      <c r="P64" s="9">
        <f>K64-L64</f>
        <v>0</v>
      </c>
      <c r="Q64" s="117"/>
      <c r="R64" s="53" t="s">
        <v>64</v>
      </c>
      <c r="S64" s="77"/>
      <c r="T64" s="77"/>
      <c r="U64" s="77"/>
      <c r="V64" s="77"/>
      <c r="X64" s="77"/>
      <c r="AF64" s="57"/>
      <c r="AG64" s="55"/>
    </row>
    <row r="65" spans="2:33" ht="72">
      <c r="B65" s="86"/>
      <c r="C65" s="54"/>
      <c r="D65" s="52"/>
      <c r="E65" s="96"/>
      <c r="F65" s="97"/>
      <c r="G65" s="220"/>
      <c r="H65" s="103"/>
      <c r="I65" s="125"/>
      <c r="J65" s="220"/>
      <c r="K65" s="89"/>
      <c r="L65" s="9"/>
      <c r="M65" s="111">
        <v>0</v>
      </c>
      <c r="N65" s="9">
        <f>L65-M65</f>
        <v>0</v>
      </c>
      <c r="O65" s="10" t="e">
        <f>L65/K65</f>
        <v>#DIV/0!</v>
      </c>
      <c r="P65" s="9">
        <f>K65-L65</f>
        <v>0</v>
      </c>
      <c r="Q65" s="117"/>
      <c r="R65" s="53" t="s">
        <v>64</v>
      </c>
      <c r="S65" s="77"/>
      <c r="T65" s="77"/>
      <c r="U65" s="77"/>
      <c r="V65" s="77"/>
      <c r="X65" s="77"/>
      <c r="AF65" s="55" t="s">
        <v>65</v>
      </c>
    </row>
    <row r="66" spans="2:33" ht="22.5">
      <c r="B66" s="86"/>
      <c r="C66" s="54"/>
      <c r="D66" s="52"/>
      <c r="E66" s="96"/>
      <c r="F66" s="97"/>
      <c r="G66" s="220"/>
      <c r="H66" s="103"/>
      <c r="I66" s="125"/>
      <c r="J66" s="220"/>
      <c r="K66" s="89"/>
      <c r="L66" s="9"/>
      <c r="M66" s="111">
        <v>0</v>
      </c>
      <c r="N66" s="9">
        <f>L66-M66</f>
        <v>0</v>
      </c>
      <c r="O66" s="10" t="e">
        <f>L66/K66</f>
        <v>#DIV/0!</v>
      </c>
      <c r="P66" s="9">
        <f>K66-L66</f>
        <v>0</v>
      </c>
      <c r="Q66" s="117"/>
      <c r="R66" s="53" t="s">
        <v>55</v>
      </c>
      <c r="S66" s="77"/>
      <c r="T66" s="77"/>
      <c r="U66" s="77"/>
      <c r="V66" s="77"/>
      <c r="X66" s="77"/>
      <c r="AF66" s="55"/>
    </row>
    <row r="67" spans="2:33" ht="36">
      <c r="B67" s="88"/>
      <c r="C67" s="54"/>
      <c r="D67" s="52"/>
      <c r="E67" s="96"/>
      <c r="F67" s="97"/>
      <c r="G67" s="220"/>
      <c r="H67" s="103"/>
      <c r="I67" s="125"/>
      <c r="J67" s="220"/>
      <c r="K67" s="91"/>
      <c r="L67" s="9"/>
      <c r="M67" s="111">
        <v>0</v>
      </c>
      <c r="N67" s="9">
        <f>L67-M67</f>
        <v>0</v>
      </c>
      <c r="O67" s="10" t="e">
        <f>L67/K67</f>
        <v>#DIV/0!</v>
      </c>
      <c r="P67" s="9">
        <f>K67-L67</f>
        <v>0</v>
      </c>
      <c r="Q67" s="178"/>
      <c r="R67" s="53" t="s">
        <v>64</v>
      </c>
      <c r="AA67" t="s">
        <v>97</v>
      </c>
      <c r="AF67" s="56" t="s">
        <v>98</v>
      </c>
    </row>
    <row r="68" spans="2:33" ht="54">
      <c r="B68" s="85"/>
      <c r="C68" s="54"/>
      <c r="D68" s="52"/>
      <c r="E68" s="96"/>
      <c r="F68" s="97"/>
      <c r="G68" s="220"/>
      <c r="H68" s="103"/>
      <c r="I68" s="125"/>
      <c r="J68" s="220"/>
      <c r="K68" s="91"/>
      <c r="L68" s="9"/>
      <c r="M68" s="111">
        <v>0</v>
      </c>
      <c r="N68" s="9">
        <f>L68-M68</f>
        <v>0</v>
      </c>
      <c r="O68" s="10" t="e">
        <f>L68/K68</f>
        <v>#DIV/0!</v>
      </c>
      <c r="P68" s="9">
        <f>K68-L68</f>
        <v>0</v>
      </c>
      <c r="Q68" s="178"/>
      <c r="R68" s="53" t="s">
        <v>64</v>
      </c>
      <c r="AA68" t="s">
        <v>37</v>
      </c>
      <c r="AF68" s="58" t="s">
        <v>101</v>
      </c>
    </row>
    <row r="69" spans="2:33" ht="63" customHeight="1">
      <c r="B69" s="85"/>
      <c r="C69" s="54"/>
      <c r="D69" s="52"/>
      <c r="E69" s="96"/>
      <c r="F69" s="97"/>
      <c r="G69" s="220"/>
      <c r="H69" s="103"/>
      <c r="I69" s="102"/>
      <c r="J69" s="220"/>
      <c r="K69" s="91"/>
      <c r="L69" s="9"/>
      <c r="M69" s="111"/>
      <c r="N69" s="9">
        <f>L69-M69</f>
        <v>0</v>
      </c>
      <c r="O69" s="10" t="e">
        <f>L69/K69</f>
        <v>#DIV/0!</v>
      </c>
      <c r="P69" s="9">
        <f>K69-L69</f>
        <v>0</v>
      </c>
      <c r="Q69" s="178"/>
      <c r="R69" s="53" t="s">
        <v>64</v>
      </c>
      <c r="AA69" t="s">
        <v>104</v>
      </c>
      <c r="AF69" s="58" t="s">
        <v>105</v>
      </c>
      <c r="AG69" s="57"/>
    </row>
    <row r="70" spans="2:33" ht="63" customHeight="1">
      <c r="B70" s="86"/>
      <c r="C70" s="54"/>
      <c r="D70" s="52"/>
      <c r="E70" s="96"/>
      <c r="F70" s="97"/>
      <c r="G70" s="220"/>
      <c r="H70" s="103"/>
      <c r="I70" s="102"/>
      <c r="J70" s="220"/>
      <c r="K70" s="89"/>
      <c r="L70" s="9"/>
      <c r="M70" s="111"/>
      <c r="N70" s="9">
        <f>L70-M70</f>
        <v>0</v>
      </c>
      <c r="O70" s="10" t="e">
        <f>L70/K70</f>
        <v>#DIV/0!</v>
      </c>
      <c r="P70" s="9">
        <f>K70-L70</f>
        <v>0</v>
      </c>
      <c r="Q70" s="178"/>
      <c r="R70" s="53"/>
      <c r="AF70" s="59" t="s">
        <v>107</v>
      </c>
    </row>
    <row r="71" spans="2:33" ht="22.5">
      <c r="B71" s="86"/>
      <c r="C71" s="100"/>
      <c r="D71" s="52"/>
      <c r="E71" s="101"/>
      <c r="F71" s="99"/>
      <c r="G71" s="220"/>
      <c r="H71" s="103"/>
      <c r="I71" s="102"/>
      <c r="J71" s="220"/>
      <c r="K71" s="90"/>
      <c r="L71" s="11"/>
      <c r="M71" s="111"/>
      <c r="N71" s="9">
        <f>L71-M71</f>
        <v>0</v>
      </c>
      <c r="O71" s="10" t="e">
        <f>L71/K71</f>
        <v>#DIV/0!</v>
      </c>
      <c r="P71" s="9">
        <f>K71-L71</f>
        <v>0</v>
      </c>
      <c r="Q71" s="120"/>
      <c r="R71" s="53" t="s">
        <v>55</v>
      </c>
      <c r="S71" s="61"/>
      <c r="T71" s="61"/>
      <c r="U71" s="61"/>
      <c r="V71" s="61"/>
      <c r="X71" s="61"/>
      <c r="AF71" s="19"/>
      <c r="AG71" s="24"/>
    </row>
    <row r="72" spans="2:33" ht="72">
      <c r="B72" s="86"/>
      <c r="C72" s="54"/>
      <c r="D72" s="52"/>
      <c r="E72" s="96"/>
      <c r="F72" s="97"/>
      <c r="G72" s="220"/>
      <c r="H72" s="103"/>
      <c r="I72" s="102"/>
      <c r="J72" s="220"/>
      <c r="K72" s="89"/>
      <c r="L72" s="9"/>
      <c r="M72" s="111"/>
      <c r="N72" s="9">
        <f>L72-M72</f>
        <v>0</v>
      </c>
      <c r="O72" s="10" t="e">
        <f>L72/K72</f>
        <v>#DIV/0!</v>
      </c>
      <c r="P72" s="9">
        <f>K72-L72</f>
        <v>0</v>
      </c>
      <c r="Q72" s="178"/>
      <c r="R72" s="53"/>
      <c r="AF72" s="17" t="s">
        <v>110</v>
      </c>
    </row>
    <row r="73" spans="2:33" ht="18" customHeight="1">
      <c r="B73" s="86"/>
      <c r="C73" s="54"/>
      <c r="D73" s="52"/>
      <c r="E73" s="96"/>
      <c r="F73" s="97"/>
      <c r="G73" s="220"/>
      <c r="H73" s="103"/>
      <c r="I73" s="102"/>
      <c r="J73" s="220"/>
      <c r="K73" s="89"/>
      <c r="L73" s="9"/>
      <c r="M73" s="111"/>
      <c r="N73" s="9">
        <f>L73-M73</f>
        <v>0</v>
      </c>
      <c r="O73" s="10" t="e">
        <f>L73/K73</f>
        <v>#DIV/0!</v>
      </c>
      <c r="P73" s="9">
        <f>K73-L73</f>
        <v>0</v>
      </c>
      <c r="Q73" s="178"/>
      <c r="R73" s="53"/>
      <c r="AF73" s="17"/>
    </row>
    <row r="74" spans="2:33" ht="72">
      <c r="B74" s="86"/>
      <c r="C74" s="54"/>
      <c r="D74" s="52"/>
      <c r="E74" s="96"/>
      <c r="F74" s="97"/>
      <c r="G74" s="220"/>
      <c r="H74" s="103"/>
      <c r="I74" s="102"/>
      <c r="J74" s="220"/>
      <c r="K74" s="89"/>
      <c r="L74" s="9"/>
      <c r="M74" s="111"/>
      <c r="N74" s="9">
        <f>L74-M74</f>
        <v>0</v>
      </c>
      <c r="O74" s="10" t="e">
        <f>L74/K74</f>
        <v>#DIV/0!</v>
      </c>
      <c r="P74" s="9">
        <f>K74-L74</f>
        <v>0</v>
      </c>
      <c r="Q74" s="178"/>
      <c r="R74" s="53"/>
      <c r="AF74" s="19" t="s">
        <v>114</v>
      </c>
    </row>
    <row r="75" spans="2:33" ht="54">
      <c r="B75" s="88"/>
      <c r="C75" s="54"/>
      <c r="D75" s="156"/>
      <c r="E75" s="96"/>
      <c r="F75" s="97"/>
      <c r="G75" s="221"/>
      <c r="H75" s="103"/>
      <c r="I75" s="102"/>
      <c r="J75" s="221"/>
      <c r="K75" s="89"/>
      <c r="L75" s="9"/>
      <c r="M75" s="111"/>
      <c r="N75" s="9">
        <f t="shared" ref="N75" si="0">L75-M75</f>
        <v>0</v>
      </c>
      <c r="O75" s="10" t="e">
        <f t="shared" ref="O75" si="1">L75/K75</f>
        <v>#DIV/0!</v>
      </c>
      <c r="P75" s="9">
        <f t="shared" ref="P75" si="2">K75-L75</f>
        <v>0</v>
      </c>
      <c r="Q75" s="178"/>
      <c r="R75" s="53"/>
      <c r="AF75" s="15" t="s">
        <v>117</v>
      </c>
    </row>
    <row r="76" spans="2:33" ht="15.75">
      <c r="D76" s="66"/>
      <c r="K76" s="22">
        <f>SUM(K9:K75)</f>
        <v>253356.66999999998</v>
      </c>
      <c r="L76" s="22">
        <f>SUM(L9:L75)</f>
        <v>242921.66999999998</v>
      </c>
      <c r="M76" s="22">
        <f>SUM(M9:M75)</f>
        <v>4625</v>
      </c>
      <c r="N76" s="22">
        <f>SUM(N9:N75)</f>
        <v>240796.66999999998</v>
      </c>
      <c r="P76" s="22">
        <f>SUM(P9:P75)</f>
        <v>10435</v>
      </c>
    </row>
    <row r="77" spans="2:33" ht="15.75">
      <c r="D77" s="66"/>
      <c r="K77" s="22"/>
      <c r="L77" s="22"/>
      <c r="M77" s="22"/>
      <c r="N77" s="22"/>
      <c r="P77" s="22"/>
    </row>
    <row r="78" spans="2:33" ht="15.75">
      <c r="D78" s="66"/>
      <c r="K78" s="22"/>
      <c r="L78" s="22"/>
      <c r="M78" s="22"/>
      <c r="N78" s="22"/>
      <c r="P78" s="22"/>
    </row>
    <row r="79" spans="2:33" ht="15.75">
      <c r="D79" s="66"/>
      <c r="K79" s="22"/>
      <c r="L79" s="22"/>
      <c r="M79" s="22"/>
      <c r="N79" s="22"/>
      <c r="P79" s="22"/>
    </row>
    <row r="80" spans="2:33" ht="15.75">
      <c r="D80" s="66"/>
      <c r="K80" s="22"/>
      <c r="L80" s="22"/>
      <c r="M80" s="22"/>
      <c r="N80" s="22"/>
      <c r="P80" s="22"/>
    </row>
    <row r="81" spans="4:16" ht="15.75">
      <c r="D81" s="66"/>
      <c r="K81" s="22"/>
      <c r="L81" s="22"/>
      <c r="M81" s="22"/>
      <c r="N81" s="22"/>
      <c r="P81" s="22"/>
    </row>
    <row r="82" spans="4:16" ht="15.75">
      <c r="D82" s="66"/>
      <c r="K82" s="22"/>
      <c r="L82" s="22"/>
      <c r="M82" s="22"/>
      <c r="N82" s="22"/>
      <c r="P82" s="22"/>
    </row>
    <row r="83" spans="4:16" ht="15.75">
      <c r="D83" s="66"/>
      <c r="K83" s="22"/>
      <c r="L83" s="22"/>
      <c r="M83" s="22"/>
      <c r="N83" s="22"/>
      <c r="P83" s="22"/>
    </row>
    <row r="84" spans="4:16" ht="15.75">
      <c r="D84" s="157"/>
      <c r="K84" s="22"/>
      <c r="L84" s="22"/>
      <c r="M84" s="22"/>
      <c r="N84" s="22"/>
      <c r="P84" s="22"/>
    </row>
    <row r="85" spans="4:16" ht="15.75">
      <c r="D85" s="66"/>
      <c r="K85" s="22"/>
      <c r="L85" s="22"/>
      <c r="M85" s="22"/>
      <c r="N85" s="22"/>
      <c r="P85" s="22"/>
    </row>
    <row r="86" spans="4:16" ht="15.75">
      <c r="D86" s="66"/>
      <c r="K86" s="22"/>
      <c r="L86" s="22"/>
      <c r="M86" s="22"/>
      <c r="N86" s="22"/>
      <c r="P86" s="22"/>
    </row>
    <row r="87" spans="4:16" ht="15.75">
      <c r="D87" s="66"/>
      <c r="K87" s="22"/>
      <c r="L87" s="22"/>
      <c r="M87" s="22"/>
      <c r="N87" s="22"/>
      <c r="P87" s="22"/>
    </row>
    <row r="88" spans="4:16" ht="15.75">
      <c r="D88" s="66"/>
      <c r="K88" s="22"/>
      <c r="L88" s="22"/>
      <c r="M88" s="22"/>
      <c r="N88" s="22"/>
      <c r="P88" s="22"/>
    </row>
    <row r="89" spans="4:16" ht="15.75">
      <c r="D89" s="66"/>
      <c r="K89" s="22"/>
      <c r="L89" s="22"/>
      <c r="M89" s="22"/>
      <c r="N89" s="22"/>
      <c r="P89" s="22"/>
    </row>
    <row r="90" spans="4:16" ht="15.75">
      <c r="D90" s="157"/>
      <c r="K90" s="22"/>
      <c r="L90" s="22"/>
      <c r="M90" s="22"/>
      <c r="N90" s="22"/>
      <c r="P90" s="22"/>
    </row>
    <row r="91" spans="4:16" ht="15.75">
      <c r="D91" s="66"/>
      <c r="K91" s="22"/>
      <c r="L91" s="22"/>
      <c r="M91" s="22"/>
      <c r="N91" s="22"/>
      <c r="P91" s="22"/>
    </row>
    <row r="92" spans="4:16" ht="15.75">
      <c r="D92" s="66"/>
      <c r="K92" s="22"/>
      <c r="L92" s="22"/>
      <c r="M92" s="22"/>
      <c r="N92" s="22"/>
      <c r="P92" s="22"/>
    </row>
    <row r="93" spans="4:16" ht="15.75">
      <c r="D93" s="66"/>
      <c r="K93" s="22"/>
      <c r="L93" s="22"/>
      <c r="M93" s="22"/>
      <c r="N93" s="22"/>
      <c r="P93" s="22"/>
    </row>
    <row r="94" spans="4:16" ht="15.75">
      <c r="D94" s="66"/>
      <c r="K94" s="22"/>
      <c r="L94" s="22"/>
      <c r="M94" s="22"/>
      <c r="N94" s="22"/>
      <c r="P94" s="22"/>
    </row>
    <row r="95" spans="4:16" ht="15.75">
      <c r="D95" s="66"/>
      <c r="K95" s="22"/>
      <c r="L95" s="22"/>
      <c r="M95" s="22"/>
      <c r="N95" s="22"/>
      <c r="P95" s="22"/>
    </row>
    <row r="96" spans="4:16" ht="15.75">
      <c r="D96" s="66"/>
      <c r="K96" s="22"/>
      <c r="L96" s="22"/>
      <c r="M96" s="22"/>
      <c r="N96" s="22"/>
      <c r="P96" s="22"/>
    </row>
    <row r="97" spans="2:16" ht="15.75">
      <c r="D97" s="66"/>
      <c r="K97" s="22"/>
      <c r="L97" s="22"/>
      <c r="M97" s="22"/>
      <c r="N97" s="22"/>
      <c r="P97" s="22"/>
    </row>
    <row r="98" spans="2:16" ht="15.75">
      <c r="D98" s="66"/>
      <c r="K98" s="22"/>
      <c r="L98" s="22"/>
      <c r="M98" s="22"/>
      <c r="N98" s="22"/>
      <c r="P98" s="22"/>
    </row>
    <row r="99" spans="2:16" ht="15.75">
      <c r="D99" s="66"/>
      <c r="K99" s="22"/>
      <c r="L99" s="22"/>
      <c r="M99" s="22"/>
      <c r="N99" s="22"/>
      <c r="P99" s="22"/>
    </row>
    <row r="100" spans="2:16" ht="15.75">
      <c r="D100" s="66"/>
      <c r="K100" s="22"/>
      <c r="L100" s="22"/>
      <c r="M100" s="22"/>
      <c r="N100" s="22"/>
      <c r="P100" s="22"/>
    </row>
    <row r="101" spans="2:16" ht="15.75">
      <c r="D101" s="66"/>
      <c r="K101" s="22"/>
      <c r="L101" s="22"/>
      <c r="M101" s="22"/>
      <c r="N101" s="22"/>
      <c r="P101" s="22"/>
    </row>
    <row r="102" spans="2:16">
      <c r="K102" s="22"/>
      <c r="L102" s="22"/>
      <c r="M102" s="22"/>
      <c r="N102" s="22"/>
      <c r="P102" s="22"/>
    </row>
    <row r="103" spans="2:16">
      <c r="K103" s="22"/>
      <c r="L103" s="22"/>
      <c r="M103" s="22"/>
      <c r="N103" s="22"/>
      <c r="P103" s="22"/>
    </row>
    <row r="104" spans="2:16">
      <c r="K104" s="22"/>
      <c r="L104" s="22"/>
      <c r="M104" s="22"/>
      <c r="N104" s="22"/>
      <c r="P104" s="22"/>
    </row>
    <row r="105" spans="2:16">
      <c r="K105" s="22"/>
      <c r="L105" s="22"/>
      <c r="M105" s="22"/>
      <c r="N105" s="22"/>
      <c r="P105" s="22"/>
    </row>
    <row r="106" spans="2:16">
      <c r="K106" s="22"/>
      <c r="L106" s="22"/>
      <c r="M106" s="22"/>
      <c r="N106" s="22"/>
      <c r="P106" s="22"/>
    </row>
    <row r="107" spans="2:16">
      <c r="K107" s="22"/>
      <c r="L107" s="22"/>
      <c r="M107" s="22"/>
      <c r="N107" s="22"/>
      <c r="P107" s="22"/>
    </row>
    <row r="108" spans="2:16">
      <c r="K108" s="22"/>
      <c r="L108" s="22"/>
      <c r="M108" s="22"/>
      <c r="N108" s="22"/>
      <c r="P108" s="22"/>
    </row>
    <row r="110" spans="2:16">
      <c r="M110" s="12"/>
      <c r="N110" s="12"/>
    </row>
    <row r="111" spans="2:16">
      <c r="B111" s="23"/>
      <c r="C111" s="24"/>
    </row>
    <row r="112" spans="2:16">
      <c r="B112" s="23"/>
      <c r="C112" s="24"/>
    </row>
    <row r="113" spans="2:9">
      <c r="B113" s="23"/>
      <c r="C113" s="24"/>
    </row>
    <row r="114" spans="2:9" ht="15.75" thickBot="1">
      <c r="B114" s="23"/>
      <c r="C114" s="24"/>
    </row>
    <row r="115" spans="2:9" ht="26.25" thickBot="1">
      <c r="B115" s="134" t="s">
        <v>130</v>
      </c>
      <c r="C115" s="133" t="s">
        <v>2</v>
      </c>
      <c r="D115" s="132" t="s">
        <v>3</v>
      </c>
      <c r="E115" s="132" t="s">
        <v>4</v>
      </c>
      <c r="F115" s="106" t="s">
        <v>119</v>
      </c>
      <c r="H115" s="132" t="s">
        <v>120</v>
      </c>
      <c r="I115" s="107" t="s">
        <v>121</v>
      </c>
    </row>
    <row r="116" spans="2:9">
      <c r="B116" s="23" t="s">
        <v>122</v>
      </c>
      <c r="C116" s="135">
        <f>COUNTIF($H$9:$H$75,"In Process")</f>
        <v>0</v>
      </c>
      <c r="D116" s="138">
        <f>SUMIF($H$9:$H$75,"In Process",K$9:K$75)</f>
        <v>0</v>
      </c>
      <c r="E116" s="138">
        <f>SUMIF($H$9:$H$75,"In Process",L$9:L$75)</f>
        <v>0</v>
      </c>
      <c r="F116" s="138">
        <f>SUMIF($H$9:$H$75,"In Process",M$9:M$75)</f>
        <v>0</v>
      </c>
      <c r="H116" s="138">
        <f>SUMIF($H$9:$H$75,"In Process",N$9:N$75)</f>
        <v>0</v>
      </c>
      <c r="I116" s="138">
        <f>SUMIF($H$9:$H$75,"In Process",P$9:P$75)</f>
        <v>0</v>
      </c>
    </row>
    <row r="117" spans="2:9">
      <c r="B117" s="23" t="s">
        <v>123</v>
      </c>
      <c r="C117" s="135">
        <f>COUNTIF($H$9:$H$75,"Delayed")</f>
        <v>0</v>
      </c>
      <c r="D117" s="138">
        <f>SUMIF($H$9:$H$75,"Delayed",K$9:K$75)</f>
        <v>0</v>
      </c>
      <c r="E117" s="138">
        <f>SUMIF($H$9:$H$75,"Delayed",L$9:L$75)</f>
        <v>0</v>
      </c>
      <c r="F117" s="138">
        <f>SUMIF($H$9:$H$75,"Delayed",M$9:M$75)</f>
        <v>0</v>
      </c>
      <c r="H117" s="138">
        <f>SUMIF($H$9:$H$75,"Delayed",N$9:N$75)</f>
        <v>0</v>
      </c>
      <c r="I117" s="138">
        <f>SUMIF($H$9:$H$75,"Delayed",P$9:P$75)</f>
        <v>0</v>
      </c>
    </row>
    <row r="118" spans="2:9">
      <c r="B118" s="23" t="s">
        <v>124</v>
      </c>
      <c r="C118" s="135">
        <f>COUNTIF($H$9:$H$75,"Pending")</f>
        <v>0</v>
      </c>
      <c r="D118" s="138">
        <f>SUMIF($H$9:$H$75,"Pending",K$9:K$75)</f>
        <v>0</v>
      </c>
      <c r="E118" s="138">
        <f>SUMIF($H$9:$H$75,"Pending",L$9:L$75)</f>
        <v>0</v>
      </c>
      <c r="F118" s="138">
        <f>SUMIF($H$9:$H$75,"Pending",M$9:M$75)</f>
        <v>0</v>
      </c>
      <c r="H118" s="138">
        <f>SUMIF($H$9:$H$75,"Pending",N$9:N$75)</f>
        <v>0</v>
      </c>
      <c r="I118" s="138">
        <f>SUMIF($H$9:$H$75,"Pending",P$9:P$75)</f>
        <v>0</v>
      </c>
    </row>
    <row r="119" spans="2:9">
      <c r="B119" s="23" t="s">
        <v>125</v>
      </c>
      <c r="C119" s="135">
        <f>COUNTIF($H$9:$H$75,"No Contract")</f>
        <v>0</v>
      </c>
      <c r="D119" s="138">
        <f>SUMIF($H$9:$H$75,"No Contract",K$9:K$75)</f>
        <v>0</v>
      </c>
      <c r="E119" s="138">
        <f>SUMIF($H$9:$H$75,"No Contract",L$9:L$75)</f>
        <v>0</v>
      </c>
      <c r="F119" s="138">
        <f>SUMIF($H$9:$H$75,"No Contract",M$9:M$75)</f>
        <v>0</v>
      </c>
      <c r="H119" s="138">
        <f>SUMIF($H$9:$H$75,"No Contract",N$9:N$75)</f>
        <v>0</v>
      </c>
      <c r="I119" s="138">
        <f>SUMIF($H$9:$H$75,"No Contract",P$9:P$75)</f>
        <v>0</v>
      </c>
    </row>
    <row r="120" spans="2:9">
      <c r="B120" s="23" t="s">
        <v>126</v>
      </c>
      <c r="C120" s="136">
        <f>COUNTIF($H$9:$H$75,"Litigation")</f>
        <v>1</v>
      </c>
      <c r="D120" s="139">
        <f>SUMIF($H$9:$H$75,"Litigation",K$9:K$75)</f>
        <v>12000</v>
      </c>
      <c r="E120" s="139">
        <f>SUMIF($H$9:$H$75,"Litigation",L$9:L$75)</f>
        <v>12000</v>
      </c>
      <c r="F120" s="139">
        <f>SUMIF($H$9:$H$75,"Litigation",M$9:M$75)</f>
        <v>0</v>
      </c>
      <c r="H120" s="139">
        <f>SUMIF($H$9:$H$75,"Litigation",N$9:N$75)</f>
        <v>12000</v>
      </c>
      <c r="I120" s="139">
        <f>SUMIF($H$9:$H$75,"Litigation",P$9:P$75)</f>
        <v>0</v>
      </c>
    </row>
    <row r="121" spans="2:9">
      <c r="B121" s="23" t="s">
        <v>127</v>
      </c>
      <c r="C121" s="135">
        <f>SUM(C116:C120)</f>
        <v>1</v>
      </c>
      <c r="D121" s="140">
        <f t="shared" ref="D121:E121" si="3">SUM(D116:D120)</f>
        <v>12000</v>
      </c>
      <c r="E121" s="140">
        <f t="shared" si="3"/>
        <v>12000</v>
      </c>
      <c r="F121" s="140">
        <f>SUM(F116:F120)</f>
        <v>0</v>
      </c>
      <c r="H121" s="140">
        <f t="shared" ref="H121" si="4">SUM(H116:H120)</f>
        <v>12000</v>
      </c>
      <c r="I121" s="140">
        <f>SUM(I116:I120)</f>
        <v>0</v>
      </c>
    </row>
    <row r="122" spans="2:9">
      <c r="C122" s="135"/>
      <c r="F122" s="23"/>
    </row>
    <row r="123" spans="2:9" ht="15.75" thickBot="1">
      <c r="B123" s="23" t="s">
        <v>128</v>
      </c>
      <c r="C123" s="137">
        <f>COUNTIF(H9:H75,"Completed")</f>
        <v>47</v>
      </c>
      <c r="D123" s="141">
        <f>SUMIF($H$9:$H$75,"Completed",K$9:K$75)</f>
        <v>241356.66999999998</v>
      </c>
      <c r="E123" s="141">
        <f>SUMIF($H$9:$H$75,"Completed",L$9:L$75)</f>
        <v>230921.66999999998</v>
      </c>
      <c r="F123" s="141">
        <f>SUMIF($H$9:$H$75,"Completed",M$9:M$75)</f>
        <v>4625</v>
      </c>
      <c r="H123" s="141">
        <f>SUMIF($H$9:$H$75,"Completed",N$9:N$75)</f>
        <v>228796.66999999998</v>
      </c>
      <c r="I123" s="141">
        <f>SUMIF($H$9:$H$75,"Completed",P$9:P$75)</f>
        <v>10435</v>
      </c>
    </row>
    <row r="124" spans="2:9">
      <c r="B124" s="23" t="s">
        <v>129</v>
      </c>
      <c r="C124" s="135">
        <f>C121+C123</f>
        <v>48</v>
      </c>
      <c r="D124" s="142">
        <f t="shared" ref="D124:E124" si="5">D121+D123</f>
        <v>253356.66999999998</v>
      </c>
      <c r="E124" s="142">
        <f t="shared" si="5"/>
        <v>242921.66999999998</v>
      </c>
      <c r="F124" s="142">
        <f>F121+F123</f>
        <v>4625</v>
      </c>
      <c r="H124" s="142">
        <f t="shared" ref="H124" si="6">H121+H123</f>
        <v>240796.66999999998</v>
      </c>
      <c r="I124" s="142">
        <f>I121+I123</f>
        <v>10435</v>
      </c>
    </row>
    <row r="125" spans="2:9" ht="15.75">
      <c r="D125" s="25"/>
      <c r="H125" s="25"/>
    </row>
    <row r="126" spans="2:9">
      <c r="D126" s="23"/>
      <c r="H126" s="23"/>
    </row>
    <row r="127" spans="2:9">
      <c r="D127" s="23"/>
      <c r="H127" s="23"/>
      <c r="I127" s="24"/>
    </row>
    <row r="128" spans="2:9">
      <c r="D128" s="23"/>
      <c r="H128" s="23"/>
      <c r="I128" s="24"/>
    </row>
    <row r="129" spans="4:9">
      <c r="D129" s="23"/>
      <c r="H129" s="23"/>
      <c r="I129" s="24"/>
    </row>
    <row r="130" spans="4:9">
      <c r="D130" s="23"/>
      <c r="H130" s="23"/>
    </row>
  </sheetData>
  <autoFilter ref="A7:AI75" xr:uid="{078B6ACD-F52F-43CD-874E-B09F096439F0}">
    <filterColumn colId="4">
      <filters blank="1">
        <filter val="Gabriella"/>
        <filter val="Garry"/>
        <filter val="Gary"/>
        <filter val="Santiago"/>
        <filter val="Scott"/>
        <filter val="Shawn"/>
      </filters>
    </filterColumn>
    <sortState xmlns:xlrd2="http://schemas.microsoft.com/office/spreadsheetml/2017/richdata2" ref="A8:AI75">
      <sortCondition descending="1" ref="H7:H75"/>
    </sortState>
  </autoFilter>
  <mergeCells count="8">
    <mergeCell ref="Q5:Q6"/>
    <mergeCell ref="R5:R6"/>
    <mergeCell ref="M6:N6"/>
    <mergeCell ref="C2:E2"/>
    <mergeCell ref="B3:P3"/>
    <mergeCell ref="B5:F6"/>
    <mergeCell ref="H5:I6"/>
    <mergeCell ref="K5:P5"/>
  </mergeCells>
  <conditionalFormatting sqref="D125">
    <cfRule type="cellIs" dxfId="11" priority="4" operator="equal">
      <formula>"Completed"</formula>
    </cfRule>
    <cfRule type="cellIs" dxfId="10" priority="5" operator="equal">
      <formula>"In Process"</formula>
    </cfRule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15 H8:H75">
    <cfRule type="cellIs" dxfId="9" priority="14" operator="equal">
      <formula>"Completed"</formula>
    </cfRule>
    <cfRule type="cellIs" dxfId="8" priority="15" operator="equal">
      <formula>"In Process"</formula>
    </cfRule>
  </conditionalFormatting>
  <conditionalFormatting sqref="H69:H70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71:H75 B115 H8:H68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25">
    <cfRule type="cellIs" dxfId="7" priority="11" operator="equal">
      <formula>"Completed"</formula>
    </cfRule>
    <cfRule type="cellIs" dxfId="6" priority="12" operator="equal">
      <formula>"In Process"</formula>
    </cfRule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3">
    <dataValidation type="list" allowBlank="1" showInputMessage="1" showErrorMessage="1" sqref="H71:H75 H8:H68" xr:uid="{F7BD4AB8-10B8-49C7-A539-283ED5497F02}">
      <formula1>$AA$51:$AA$56</formula1>
    </dataValidation>
    <dataValidation type="list" allowBlank="1" showInputMessage="1" showErrorMessage="1" sqref="H69:H70" xr:uid="{0991C044-1F60-4D9E-A41D-BE02EF9A3C4C}">
      <formula1>$AB$54:$AB$64</formula1>
    </dataValidation>
    <dataValidation type="list" allowBlank="1" showInputMessage="1" showErrorMessage="1" sqref="D9:D56 D57:D101" xr:uid="{FF17C5AD-E4F6-40D3-A4BC-A61986A2A83D}">
      <formula1>$W$37:$W$41</formula1>
    </dataValidation>
  </dataValidations>
  <pageMargins left="0.25" right="0.25" top="0.75" bottom="0.75" header="0.3" footer="0.3"/>
  <pageSetup paperSize="3" scale="5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0F07F-0282-45E6-B932-9C3970E7D096}">
  <sheetPr>
    <tabColor theme="8" tint="0.39997558519241921"/>
    <pageSetUpPr fitToPage="1"/>
  </sheetPr>
  <dimension ref="A1:AC123"/>
  <sheetViews>
    <sheetView tabSelected="1" topLeftCell="A31" zoomScaleNormal="100" workbookViewId="0">
      <selection activeCell="B38" sqref="B38"/>
    </sheetView>
  </sheetViews>
  <sheetFormatPr defaultRowHeight="15"/>
  <cols>
    <col min="1" max="1" width="3.28515625" customWidth="1"/>
    <col min="2" max="2" width="32" customWidth="1"/>
    <col min="3" max="3" width="17.7109375" customWidth="1"/>
    <col min="4" max="4" width="17.7109375" hidden="1" customWidth="1"/>
    <col min="5" max="5" width="14.5703125" customWidth="1"/>
    <col min="6" max="6" width="16.42578125" bestFit="1" customWidth="1"/>
    <col min="7" max="7" width="0.7109375" customWidth="1"/>
    <col min="8" max="8" width="20.42578125" customWidth="1"/>
    <col min="9" max="9" width="16.5703125" customWidth="1"/>
    <col min="10" max="10" width="2.140625" customWidth="1"/>
    <col min="11" max="11" width="17" customWidth="1"/>
    <col min="12" max="12" width="17.85546875" customWidth="1"/>
    <col min="13" max="13" width="19.28515625" customWidth="1"/>
    <col min="14" max="14" width="15.85546875" customWidth="1"/>
    <col min="15" max="15" width="18" customWidth="1"/>
    <col min="16" max="16" width="16.7109375" customWidth="1"/>
    <col min="17" max="17" width="55.85546875" customWidth="1"/>
    <col min="18" max="18" width="14" hidden="1" customWidth="1"/>
    <col min="19" max="22" width="104.85546875" customWidth="1"/>
    <col min="24" max="24" width="104.85546875" customWidth="1"/>
    <col min="25" max="25" width="24.85546875" customWidth="1"/>
    <col min="27" max="27" width="14.140625" customWidth="1"/>
  </cols>
  <sheetData>
    <row r="1" spans="1:29" ht="84">
      <c r="A1" s="1" t="s">
        <v>15</v>
      </c>
      <c r="B1" s="2"/>
      <c r="C1" s="3"/>
      <c r="D1" s="4"/>
      <c r="E1" s="4"/>
      <c r="F1" s="4"/>
      <c r="G1" s="4"/>
      <c r="H1" s="4"/>
      <c r="I1" s="4"/>
      <c r="J1" s="4"/>
      <c r="K1" s="4"/>
      <c r="L1" s="4" t="s">
        <v>20</v>
      </c>
      <c r="M1" s="4"/>
      <c r="N1" s="4"/>
      <c r="O1" s="4"/>
      <c r="P1" s="62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spans="1:29" ht="33" customHeight="1">
      <c r="A2" s="6"/>
      <c r="B2" s="7" t="s">
        <v>1</v>
      </c>
      <c r="C2" s="365">
        <f ca="1">TODAY()</f>
        <v>46058</v>
      </c>
      <c r="D2" s="365"/>
      <c r="E2" s="365"/>
      <c r="G2" s="94"/>
      <c r="H2" s="94"/>
      <c r="I2" s="95"/>
      <c r="J2" s="95"/>
      <c r="L2" s="84"/>
      <c r="M2" s="4"/>
      <c r="N2" s="4"/>
      <c r="O2" s="4"/>
      <c r="P2" s="4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</row>
    <row r="3" spans="1:29" ht="38.25" customHeight="1">
      <c r="A3" s="6"/>
      <c r="B3" s="397" t="s">
        <v>328</v>
      </c>
      <c r="C3" s="397"/>
      <c r="D3" s="397"/>
      <c r="E3" s="397"/>
      <c r="F3" s="397"/>
      <c r="G3" s="397"/>
      <c r="H3" s="397"/>
      <c r="I3" s="397"/>
      <c r="J3" s="397"/>
      <c r="K3" s="397"/>
      <c r="L3" s="397"/>
      <c r="M3" s="397"/>
      <c r="N3" s="397"/>
      <c r="O3" s="397"/>
      <c r="P3" s="397"/>
      <c r="W3" s="5"/>
      <c r="Y3" s="5"/>
      <c r="Z3" s="5"/>
      <c r="AA3" s="5"/>
      <c r="AB3" s="5"/>
      <c r="AC3" s="5"/>
    </row>
    <row r="4" spans="1:29" ht="14.25" customHeight="1">
      <c r="A4" s="6"/>
      <c r="B4" s="93"/>
      <c r="C4" s="93"/>
      <c r="D4" s="93"/>
      <c r="E4" s="93"/>
      <c r="F4" s="93"/>
      <c r="G4" s="93"/>
      <c r="H4" s="93"/>
      <c r="I4" s="93"/>
      <c r="J4" s="93"/>
      <c r="L4" s="93"/>
      <c r="M4" s="93"/>
      <c r="N4" s="93"/>
      <c r="P4" s="93"/>
      <c r="W4" s="8"/>
      <c r="Y4" s="5"/>
      <c r="Z4" s="5"/>
      <c r="AA4" s="5"/>
      <c r="AB4" s="5"/>
      <c r="AC4" s="5"/>
    </row>
    <row r="5" spans="1:29" ht="38.25" customHeight="1">
      <c r="A5" s="6"/>
      <c r="B5" s="388" t="s">
        <v>329</v>
      </c>
      <c r="C5" s="389"/>
      <c r="D5" s="389"/>
      <c r="E5" s="389"/>
      <c r="F5" s="390"/>
      <c r="G5" s="92"/>
      <c r="H5" s="380" t="s">
        <v>330</v>
      </c>
      <c r="I5" s="381"/>
      <c r="J5" s="92"/>
      <c r="K5" s="394" t="s">
        <v>331</v>
      </c>
      <c r="L5" s="395"/>
      <c r="M5" s="395"/>
      <c r="N5" s="395"/>
      <c r="O5" s="395"/>
      <c r="P5" s="396"/>
      <c r="Q5" s="368" t="s">
        <v>134</v>
      </c>
      <c r="R5" s="370" t="s">
        <v>32</v>
      </c>
      <c r="Y5" s="5"/>
      <c r="Z5" s="5"/>
      <c r="AA5" s="5"/>
      <c r="AB5" s="5"/>
      <c r="AC5" s="5"/>
    </row>
    <row r="6" spans="1:29" ht="50.25" customHeight="1">
      <c r="A6" s="6"/>
      <c r="B6" s="391"/>
      <c r="C6" s="392"/>
      <c r="D6" s="392"/>
      <c r="E6" s="392"/>
      <c r="F6" s="393"/>
      <c r="G6" s="92"/>
      <c r="H6" s="382"/>
      <c r="I6" s="383"/>
      <c r="J6" s="92"/>
      <c r="K6" s="169" t="s">
        <v>135</v>
      </c>
      <c r="L6" s="170">
        <f>E114-E112</f>
        <v>0</v>
      </c>
      <c r="M6" s="372" t="s">
        <v>136</v>
      </c>
      <c r="N6" s="373"/>
      <c r="O6" s="171" t="s">
        <v>137</v>
      </c>
      <c r="P6" s="172">
        <f>F114-F112+F116</f>
        <v>42995.5</v>
      </c>
      <c r="Q6" s="369"/>
      <c r="R6" s="371"/>
      <c r="Y6" s="5"/>
      <c r="Z6" s="5"/>
      <c r="AA6" s="5"/>
      <c r="AB6" s="5"/>
      <c r="AC6" s="5"/>
    </row>
    <row r="7" spans="1:29" ht="36.75" customHeight="1">
      <c r="A7" s="63" t="s">
        <v>20</v>
      </c>
      <c r="B7" s="83" t="s">
        <v>21</v>
      </c>
      <c r="C7" s="82" t="s">
        <v>22</v>
      </c>
      <c r="D7" s="82" t="s">
        <v>243</v>
      </c>
      <c r="E7" s="82" t="s">
        <v>23</v>
      </c>
      <c r="F7" s="82" t="s">
        <v>24</v>
      </c>
      <c r="G7" s="183"/>
      <c r="H7" s="126" t="s">
        <v>25</v>
      </c>
      <c r="I7" s="126" t="s">
        <v>26</v>
      </c>
      <c r="J7" s="219"/>
      <c r="K7" s="81" t="s">
        <v>3</v>
      </c>
      <c r="L7" s="81" t="s">
        <v>4</v>
      </c>
      <c r="M7" s="123" t="s">
        <v>119</v>
      </c>
      <c r="N7" s="81" t="s">
        <v>120</v>
      </c>
      <c r="O7" s="81" t="s">
        <v>29</v>
      </c>
      <c r="P7" s="81" t="s">
        <v>121</v>
      </c>
      <c r="Q7" s="184"/>
      <c r="R7" s="182"/>
      <c r="S7" s="74"/>
      <c r="T7" s="74"/>
      <c r="U7" s="74"/>
      <c r="V7" s="74"/>
      <c r="X7" s="74"/>
      <c r="Y7" s="8"/>
      <c r="Z7" s="8"/>
      <c r="AA7" s="81" t="s">
        <v>25</v>
      </c>
      <c r="AB7" s="8"/>
      <c r="AC7" s="8"/>
    </row>
    <row r="8" spans="1:29" ht="22.5">
      <c r="B8" s="16" t="s">
        <v>332</v>
      </c>
      <c r="C8" s="20" t="s">
        <v>333</v>
      </c>
      <c r="D8" s="52" t="s">
        <v>304</v>
      </c>
      <c r="E8" s="13" t="s">
        <v>246</v>
      </c>
      <c r="F8" s="21" t="s">
        <v>246</v>
      </c>
      <c r="G8" s="217"/>
      <c r="H8" s="124" t="s">
        <v>17</v>
      </c>
      <c r="I8" s="125" t="s">
        <v>38</v>
      </c>
      <c r="J8" s="220"/>
      <c r="K8" s="14">
        <v>450</v>
      </c>
      <c r="L8" s="60">
        <v>450</v>
      </c>
      <c r="M8" s="122">
        <v>0</v>
      </c>
      <c r="N8" s="60">
        <f>L8-M8</f>
        <v>450</v>
      </c>
      <c r="O8" s="64">
        <f>L8/K8</f>
        <v>1</v>
      </c>
      <c r="P8" s="60">
        <f>K8-L8</f>
        <v>0</v>
      </c>
      <c r="Q8" s="241" t="s">
        <v>292</v>
      </c>
      <c r="R8" s="131" t="s">
        <v>40</v>
      </c>
      <c r="S8" s="75"/>
      <c r="T8" s="75"/>
      <c r="U8" s="75"/>
      <c r="V8" s="75"/>
      <c r="X8" s="75"/>
    </row>
    <row r="9" spans="1:29" ht="22.5">
      <c r="B9" s="16" t="s">
        <v>334</v>
      </c>
      <c r="C9" s="20" t="s">
        <v>15</v>
      </c>
      <c r="D9" s="52" t="s">
        <v>306</v>
      </c>
      <c r="E9" s="13" t="s">
        <v>85</v>
      </c>
      <c r="F9" s="21" t="s">
        <v>85</v>
      </c>
      <c r="G9" s="217"/>
      <c r="H9" s="124" t="s">
        <v>17</v>
      </c>
      <c r="I9" s="125" t="s">
        <v>38</v>
      </c>
      <c r="J9" s="220"/>
      <c r="K9" s="14">
        <v>1200</v>
      </c>
      <c r="L9" s="60">
        <v>1200</v>
      </c>
      <c r="M9" s="122">
        <v>0</v>
      </c>
      <c r="N9" s="9">
        <f t="shared" ref="N9:N68" si="0">L9-M9</f>
        <v>1200</v>
      </c>
      <c r="O9" s="10">
        <f t="shared" ref="O9:O68" si="1">L9/K9</f>
        <v>1</v>
      </c>
      <c r="P9" s="9">
        <f t="shared" ref="P9:P68" si="2">K9-L9</f>
        <v>0</v>
      </c>
      <c r="Q9" s="241" t="s">
        <v>292</v>
      </c>
      <c r="R9" s="131"/>
      <c r="S9" s="75"/>
      <c r="T9" s="75"/>
      <c r="U9" s="75"/>
      <c r="V9" s="75"/>
      <c r="X9" s="75"/>
    </row>
    <row r="10" spans="1:29" ht="22.5">
      <c r="B10" s="16" t="s">
        <v>335</v>
      </c>
      <c r="C10" s="20" t="s">
        <v>15</v>
      </c>
      <c r="D10" s="13" t="s">
        <v>246</v>
      </c>
      <c r="E10" s="21" t="s">
        <v>246</v>
      </c>
      <c r="F10" s="21" t="s">
        <v>46</v>
      </c>
      <c r="G10" s="217"/>
      <c r="H10" s="124" t="s">
        <v>17</v>
      </c>
      <c r="I10" s="125" t="s">
        <v>38</v>
      </c>
      <c r="J10" s="220"/>
      <c r="K10" s="14">
        <v>950</v>
      </c>
      <c r="L10" s="60">
        <v>950</v>
      </c>
      <c r="M10" s="122">
        <v>550</v>
      </c>
      <c r="N10" s="9">
        <f t="shared" si="0"/>
        <v>400</v>
      </c>
      <c r="O10" s="10">
        <f t="shared" si="1"/>
        <v>1</v>
      </c>
      <c r="P10" s="9">
        <f t="shared" si="2"/>
        <v>0</v>
      </c>
      <c r="Q10" s="241" t="s">
        <v>336</v>
      </c>
      <c r="R10" s="131"/>
      <c r="S10" s="75"/>
      <c r="T10" s="75"/>
      <c r="U10" s="75"/>
      <c r="V10" s="75"/>
      <c r="X10" s="75"/>
    </row>
    <row r="11" spans="1:29" ht="31.5">
      <c r="B11" s="16" t="s">
        <v>337</v>
      </c>
      <c r="C11" s="67" t="s">
        <v>338</v>
      </c>
      <c r="D11" s="52" t="s">
        <v>306</v>
      </c>
      <c r="E11" s="13" t="s">
        <v>85</v>
      </c>
      <c r="F11" s="21" t="s">
        <v>85</v>
      </c>
      <c r="G11" s="217"/>
      <c r="H11" s="124" t="s">
        <v>17</v>
      </c>
      <c r="I11" s="125" t="s">
        <v>253</v>
      </c>
      <c r="J11" s="220"/>
      <c r="K11" s="14">
        <v>3000</v>
      </c>
      <c r="L11" s="60">
        <v>3000</v>
      </c>
      <c r="M11" s="122">
        <v>0</v>
      </c>
      <c r="N11" s="9">
        <f t="shared" si="0"/>
        <v>3000</v>
      </c>
      <c r="O11" s="10">
        <f t="shared" si="1"/>
        <v>1</v>
      </c>
      <c r="P11" s="9">
        <f t="shared" si="2"/>
        <v>0</v>
      </c>
      <c r="Q11" s="241" t="s">
        <v>292</v>
      </c>
      <c r="R11" s="131"/>
      <c r="S11" s="75"/>
      <c r="T11" s="75"/>
      <c r="U11" s="75"/>
      <c r="V11" s="75"/>
      <c r="X11" s="75"/>
    </row>
    <row r="12" spans="1:29" ht="36">
      <c r="B12" s="19" t="s">
        <v>339</v>
      </c>
      <c r="C12" s="20" t="s">
        <v>15</v>
      </c>
      <c r="D12" s="52" t="s">
        <v>306</v>
      </c>
      <c r="E12" s="13" t="s">
        <v>246</v>
      </c>
      <c r="F12" s="21" t="s">
        <v>246</v>
      </c>
      <c r="G12" s="217"/>
      <c r="H12" s="124" t="s">
        <v>17</v>
      </c>
      <c r="I12" s="125" t="s">
        <v>38</v>
      </c>
      <c r="J12" s="220"/>
      <c r="K12" s="14">
        <v>6000</v>
      </c>
      <c r="L12" s="60">
        <v>6000</v>
      </c>
      <c r="M12" s="122">
        <v>0</v>
      </c>
      <c r="N12" s="9">
        <f t="shared" si="0"/>
        <v>6000</v>
      </c>
      <c r="O12" s="10">
        <f t="shared" si="1"/>
        <v>1</v>
      </c>
      <c r="P12" s="9">
        <f t="shared" si="2"/>
        <v>0</v>
      </c>
      <c r="Q12" s="241" t="s">
        <v>292</v>
      </c>
      <c r="R12" s="131"/>
      <c r="S12" s="75"/>
      <c r="T12" s="75"/>
      <c r="U12" s="75"/>
      <c r="V12" s="75"/>
      <c r="X12" s="75"/>
    </row>
    <row r="13" spans="1:29" ht="36" customHeight="1">
      <c r="B13" s="19" t="s">
        <v>340</v>
      </c>
      <c r="C13" s="20" t="s">
        <v>15</v>
      </c>
      <c r="D13" s="52" t="s">
        <v>306</v>
      </c>
      <c r="E13" s="13" t="s">
        <v>246</v>
      </c>
      <c r="F13" s="21" t="s">
        <v>246</v>
      </c>
      <c r="G13" s="217"/>
      <c r="H13" s="124" t="s">
        <v>17</v>
      </c>
      <c r="I13" s="125" t="s">
        <v>38</v>
      </c>
      <c r="J13" s="220"/>
      <c r="K13" s="14">
        <v>13104</v>
      </c>
      <c r="L13" s="60">
        <v>13104</v>
      </c>
      <c r="M13" s="122">
        <v>0</v>
      </c>
      <c r="N13" s="9">
        <f t="shared" si="0"/>
        <v>13104</v>
      </c>
      <c r="O13" s="10">
        <f t="shared" si="1"/>
        <v>1</v>
      </c>
      <c r="P13" s="9">
        <f t="shared" si="2"/>
        <v>0</v>
      </c>
      <c r="Q13" s="241" t="s">
        <v>292</v>
      </c>
      <c r="R13" s="131"/>
      <c r="S13" s="75"/>
      <c r="T13" s="75"/>
      <c r="U13" s="75"/>
      <c r="V13" s="75"/>
      <c r="X13" s="75"/>
    </row>
    <row r="14" spans="1:29" ht="22.5">
      <c r="B14" s="16" t="s">
        <v>341</v>
      </c>
      <c r="C14" s="20" t="s">
        <v>15</v>
      </c>
      <c r="D14" s="52" t="s">
        <v>304</v>
      </c>
      <c r="E14" s="13" t="s">
        <v>85</v>
      </c>
      <c r="F14" s="21" t="s">
        <v>85</v>
      </c>
      <c r="G14" s="217"/>
      <c r="H14" s="124" t="s">
        <v>17</v>
      </c>
      <c r="I14" s="125" t="s">
        <v>38</v>
      </c>
      <c r="J14" s="220"/>
      <c r="K14" s="14">
        <v>3900</v>
      </c>
      <c r="L14" s="60">
        <v>3900</v>
      </c>
      <c r="M14" s="122">
        <v>0</v>
      </c>
      <c r="N14" s="9">
        <f t="shared" si="0"/>
        <v>3900</v>
      </c>
      <c r="O14" s="10">
        <f t="shared" si="1"/>
        <v>1</v>
      </c>
      <c r="P14" s="9">
        <f t="shared" si="2"/>
        <v>0</v>
      </c>
      <c r="Q14" s="241" t="s">
        <v>292</v>
      </c>
      <c r="R14" s="131"/>
      <c r="S14" s="75"/>
      <c r="T14" s="75"/>
      <c r="U14" s="75"/>
      <c r="V14" s="75"/>
      <c r="X14" s="75"/>
    </row>
    <row r="15" spans="1:29" ht="42">
      <c r="B15" s="19" t="s">
        <v>342</v>
      </c>
      <c r="C15" s="67" t="s">
        <v>338</v>
      </c>
      <c r="D15" s="52" t="s">
        <v>306</v>
      </c>
      <c r="E15" s="13" t="s">
        <v>85</v>
      </c>
      <c r="F15" s="21" t="s">
        <v>246</v>
      </c>
      <c r="G15" s="217"/>
      <c r="H15" s="124" t="s">
        <v>17</v>
      </c>
      <c r="I15" s="125" t="s">
        <v>38</v>
      </c>
      <c r="J15" s="220"/>
      <c r="K15" s="14">
        <v>5100</v>
      </c>
      <c r="L15" s="60">
        <v>5100</v>
      </c>
      <c r="M15" s="122">
        <v>0</v>
      </c>
      <c r="N15" s="9">
        <f t="shared" si="0"/>
        <v>5100</v>
      </c>
      <c r="O15" s="10">
        <f t="shared" si="1"/>
        <v>1</v>
      </c>
      <c r="P15" s="9">
        <f t="shared" si="2"/>
        <v>0</v>
      </c>
      <c r="Q15" s="241" t="s">
        <v>343</v>
      </c>
      <c r="R15" s="131"/>
      <c r="S15" s="75"/>
      <c r="T15" s="75"/>
      <c r="U15" s="75"/>
      <c r="V15" s="75"/>
      <c r="X15" s="75"/>
    </row>
    <row r="16" spans="1:29" ht="22.5">
      <c r="B16" s="19" t="s">
        <v>344</v>
      </c>
      <c r="C16" s="20" t="s">
        <v>15</v>
      </c>
      <c r="D16" s="52" t="s">
        <v>304</v>
      </c>
      <c r="E16" s="13" t="s">
        <v>85</v>
      </c>
      <c r="F16" s="21" t="s">
        <v>85</v>
      </c>
      <c r="G16" s="217"/>
      <c r="H16" s="124" t="s">
        <v>17</v>
      </c>
      <c r="I16" s="125" t="s">
        <v>38</v>
      </c>
      <c r="J16" s="220"/>
      <c r="K16" s="14">
        <v>6510</v>
      </c>
      <c r="L16" s="60">
        <v>6510</v>
      </c>
      <c r="M16" s="122">
        <v>0</v>
      </c>
      <c r="N16" s="9">
        <f t="shared" si="0"/>
        <v>6510</v>
      </c>
      <c r="O16" s="10">
        <f t="shared" si="1"/>
        <v>1</v>
      </c>
      <c r="P16" s="9">
        <f t="shared" si="2"/>
        <v>0</v>
      </c>
      <c r="Q16" s="241" t="s">
        <v>345</v>
      </c>
      <c r="R16" s="131"/>
      <c r="S16" s="75"/>
      <c r="T16" s="75"/>
      <c r="U16" s="75"/>
      <c r="V16" s="75"/>
      <c r="X16" s="75"/>
    </row>
    <row r="17" spans="2:24" ht="22.5">
      <c r="B17" s="19" t="s">
        <v>346</v>
      </c>
      <c r="C17" s="20" t="s">
        <v>15</v>
      </c>
      <c r="D17" s="52"/>
      <c r="E17" s="13" t="s">
        <v>347</v>
      </c>
      <c r="F17" s="21" t="s">
        <v>85</v>
      </c>
      <c r="G17" s="217"/>
      <c r="H17" s="124" t="s">
        <v>17</v>
      </c>
      <c r="I17" s="125" t="s">
        <v>55</v>
      </c>
      <c r="J17" s="220"/>
      <c r="K17" s="14">
        <v>4600</v>
      </c>
      <c r="L17" s="60">
        <v>4600</v>
      </c>
      <c r="M17" s="122">
        <v>0</v>
      </c>
      <c r="N17" s="9">
        <f t="shared" si="0"/>
        <v>4600</v>
      </c>
      <c r="O17" s="10">
        <f t="shared" si="1"/>
        <v>1</v>
      </c>
      <c r="P17" s="9">
        <f t="shared" si="2"/>
        <v>0</v>
      </c>
      <c r="Q17" s="241" t="s">
        <v>348</v>
      </c>
      <c r="R17" s="131"/>
      <c r="S17" s="75"/>
      <c r="T17" s="75"/>
      <c r="U17" s="75"/>
      <c r="V17" s="75"/>
      <c r="X17" s="75"/>
    </row>
    <row r="18" spans="2:24" ht="22.5">
      <c r="B18" s="19" t="s">
        <v>349</v>
      </c>
      <c r="C18" s="20" t="s">
        <v>15</v>
      </c>
      <c r="D18" s="52" t="s">
        <v>306</v>
      </c>
      <c r="E18" s="13" t="s">
        <v>246</v>
      </c>
      <c r="F18" s="236" t="s">
        <v>246</v>
      </c>
      <c r="G18" s="217"/>
      <c r="H18" s="124" t="s">
        <v>17</v>
      </c>
      <c r="I18" s="125" t="s">
        <v>38</v>
      </c>
      <c r="J18" s="220"/>
      <c r="K18" s="14">
        <v>3500</v>
      </c>
      <c r="L18" s="60">
        <v>3500</v>
      </c>
      <c r="M18" s="122">
        <v>0</v>
      </c>
      <c r="N18" s="9">
        <f t="shared" si="0"/>
        <v>3500</v>
      </c>
      <c r="O18" s="10">
        <f t="shared" si="1"/>
        <v>1</v>
      </c>
      <c r="P18" s="9">
        <f t="shared" si="2"/>
        <v>0</v>
      </c>
      <c r="Q18" s="241" t="s">
        <v>350</v>
      </c>
      <c r="R18" s="131"/>
      <c r="S18" s="75"/>
      <c r="T18" s="75"/>
      <c r="U18" s="75"/>
      <c r="V18" s="75"/>
      <c r="X18" s="75"/>
    </row>
    <row r="19" spans="2:24" ht="22.5">
      <c r="B19" s="68" t="s">
        <v>351</v>
      </c>
      <c r="C19" s="67" t="s">
        <v>352</v>
      </c>
      <c r="D19" s="52" t="s">
        <v>306</v>
      </c>
      <c r="E19" s="72" t="s">
        <v>246</v>
      </c>
      <c r="F19" s="73" t="s">
        <v>246</v>
      </c>
      <c r="G19" s="217"/>
      <c r="H19" s="124" t="s">
        <v>17</v>
      </c>
      <c r="I19" s="125" t="s">
        <v>38</v>
      </c>
      <c r="J19" s="220"/>
      <c r="K19" s="14">
        <v>450</v>
      </c>
      <c r="L19" s="60">
        <v>450</v>
      </c>
      <c r="M19" s="122">
        <v>0</v>
      </c>
      <c r="N19" s="9">
        <f t="shared" si="0"/>
        <v>450</v>
      </c>
      <c r="O19" s="10">
        <f t="shared" si="1"/>
        <v>1</v>
      </c>
      <c r="P19" s="9">
        <f t="shared" si="2"/>
        <v>0</v>
      </c>
      <c r="Q19" s="241" t="s">
        <v>353</v>
      </c>
      <c r="R19" s="131"/>
      <c r="S19" s="75"/>
      <c r="T19" s="75"/>
      <c r="U19" s="75"/>
      <c r="V19" s="75"/>
      <c r="X19" s="75"/>
    </row>
    <row r="20" spans="2:24" ht="22.5">
      <c r="B20" s="216" t="s">
        <v>354</v>
      </c>
      <c r="C20" s="67" t="s">
        <v>15</v>
      </c>
      <c r="D20" s="52" t="s">
        <v>306</v>
      </c>
      <c r="E20" s="69" t="s">
        <v>85</v>
      </c>
      <c r="F20" s="69" t="s">
        <v>85</v>
      </c>
      <c r="G20" s="217"/>
      <c r="H20" s="124" t="s">
        <v>17</v>
      </c>
      <c r="I20" s="125" t="s">
        <v>38</v>
      </c>
      <c r="J20" s="220"/>
      <c r="K20" s="14">
        <v>4600</v>
      </c>
      <c r="L20" s="60">
        <v>0</v>
      </c>
      <c r="M20" s="122">
        <v>0</v>
      </c>
      <c r="N20" s="9">
        <f t="shared" si="0"/>
        <v>0</v>
      </c>
      <c r="O20" s="10">
        <f t="shared" si="1"/>
        <v>0</v>
      </c>
      <c r="P20" s="9">
        <f t="shared" si="2"/>
        <v>4600</v>
      </c>
      <c r="Q20" s="241" t="s">
        <v>355</v>
      </c>
      <c r="R20" s="131"/>
      <c r="S20" s="75"/>
      <c r="T20" s="75"/>
      <c r="U20" s="75"/>
      <c r="V20" s="75"/>
      <c r="X20" s="75"/>
    </row>
    <row r="21" spans="2:24" ht="78.75">
      <c r="B21" s="216" t="s">
        <v>356</v>
      </c>
      <c r="C21" s="67" t="s">
        <v>357</v>
      </c>
      <c r="D21" s="52"/>
      <c r="E21" s="69" t="s">
        <v>246</v>
      </c>
      <c r="F21" s="69" t="s">
        <v>42</v>
      </c>
      <c r="G21" s="217"/>
      <c r="H21" s="124" t="s">
        <v>17</v>
      </c>
      <c r="I21" s="125" t="s">
        <v>253</v>
      </c>
      <c r="J21" s="220"/>
      <c r="K21" s="14">
        <v>23691</v>
      </c>
      <c r="L21" s="60">
        <v>23691</v>
      </c>
      <c r="M21" s="122">
        <v>11845.5</v>
      </c>
      <c r="N21" s="9">
        <f t="shared" si="0"/>
        <v>11845.5</v>
      </c>
      <c r="O21" s="10">
        <f t="shared" si="1"/>
        <v>1</v>
      </c>
      <c r="P21" s="9">
        <f t="shared" si="2"/>
        <v>0</v>
      </c>
      <c r="Q21" s="241" t="s">
        <v>358</v>
      </c>
      <c r="R21" s="131"/>
      <c r="S21" s="75"/>
      <c r="T21" s="75"/>
      <c r="U21" s="75"/>
      <c r="V21" s="75"/>
      <c r="X21" s="75"/>
    </row>
    <row r="22" spans="2:24" ht="47.25">
      <c r="B22" s="216" t="s">
        <v>359</v>
      </c>
      <c r="C22" s="67" t="s">
        <v>360</v>
      </c>
      <c r="D22" s="52"/>
      <c r="E22" s="69" t="s">
        <v>246</v>
      </c>
      <c r="F22" s="69" t="s">
        <v>42</v>
      </c>
      <c r="G22" s="217"/>
      <c r="H22" s="124" t="s">
        <v>17</v>
      </c>
      <c r="I22" s="125" t="s">
        <v>38</v>
      </c>
      <c r="J22" s="220"/>
      <c r="K22" s="14">
        <v>32000</v>
      </c>
      <c r="L22" s="60">
        <v>16000</v>
      </c>
      <c r="M22" s="122">
        <v>16000</v>
      </c>
      <c r="N22" s="9">
        <f t="shared" si="0"/>
        <v>0</v>
      </c>
      <c r="O22" s="10">
        <v>1</v>
      </c>
      <c r="P22" s="9">
        <f t="shared" si="2"/>
        <v>16000</v>
      </c>
      <c r="Q22" s="241" t="s">
        <v>361</v>
      </c>
      <c r="R22" s="131"/>
      <c r="S22" s="75"/>
      <c r="T22" s="75"/>
      <c r="U22" s="75"/>
      <c r="V22" s="75"/>
      <c r="X22" s="75"/>
    </row>
    <row r="23" spans="2:24" ht="47.25">
      <c r="B23" s="216" t="s">
        <v>362</v>
      </c>
      <c r="C23" s="67" t="s">
        <v>15</v>
      </c>
      <c r="D23" s="52" t="s">
        <v>304</v>
      </c>
      <c r="E23" s="69" t="s">
        <v>85</v>
      </c>
      <c r="F23" s="69" t="s">
        <v>85</v>
      </c>
      <c r="G23" s="217"/>
      <c r="H23" s="124" t="s">
        <v>17</v>
      </c>
      <c r="I23" s="125" t="s">
        <v>38</v>
      </c>
      <c r="J23" s="220"/>
      <c r="K23" s="14">
        <v>5500</v>
      </c>
      <c r="L23" s="60">
        <v>5500</v>
      </c>
      <c r="M23" s="122">
        <v>0</v>
      </c>
      <c r="N23" s="9">
        <f t="shared" si="0"/>
        <v>5500</v>
      </c>
      <c r="O23" s="10">
        <f t="shared" si="1"/>
        <v>1</v>
      </c>
      <c r="P23" s="9">
        <f t="shared" si="2"/>
        <v>0</v>
      </c>
      <c r="Q23" s="241" t="s">
        <v>254</v>
      </c>
      <c r="R23" s="131"/>
      <c r="S23" s="75"/>
      <c r="T23" s="75"/>
      <c r="U23" s="75"/>
      <c r="V23" s="75"/>
      <c r="X23" s="75"/>
    </row>
    <row r="24" spans="2:24" ht="22.5">
      <c r="B24" s="71" t="s">
        <v>363</v>
      </c>
      <c r="C24" s="67" t="s">
        <v>15</v>
      </c>
      <c r="D24" s="52" t="s">
        <v>306</v>
      </c>
      <c r="E24" s="69" t="s">
        <v>246</v>
      </c>
      <c r="F24" s="69" t="s">
        <v>46</v>
      </c>
      <c r="G24" s="217"/>
      <c r="H24" s="124" t="s">
        <v>17</v>
      </c>
      <c r="I24" s="125" t="s">
        <v>253</v>
      </c>
      <c r="J24" s="220"/>
      <c r="K24" s="14">
        <v>18992.5</v>
      </c>
      <c r="L24" s="60">
        <v>18992.5</v>
      </c>
      <c r="M24" s="122">
        <v>0</v>
      </c>
      <c r="N24" s="9">
        <f t="shared" si="0"/>
        <v>18992.5</v>
      </c>
      <c r="O24" s="10">
        <f t="shared" si="1"/>
        <v>1</v>
      </c>
      <c r="P24" s="9">
        <f t="shared" si="2"/>
        <v>0</v>
      </c>
      <c r="Q24" s="241" t="s">
        <v>364</v>
      </c>
      <c r="R24" s="131"/>
      <c r="S24" s="75"/>
      <c r="T24" s="75"/>
      <c r="U24" s="75"/>
      <c r="V24" s="75"/>
      <c r="X24" s="75"/>
    </row>
    <row r="25" spans="2:24" ht="47.25">
      <c r="B25" s="70" t="s">
        <v>365</v>
      </c>
      <c r="C25" s="67" t="s">
        <v>338</v>
      </c>
      <c r="D25" s="52" t="s">
        <v>306</v>
      </c>
      <c r="E25" s="69" t="s">
        <v>347</v>
      </c>
      <c r="F25" s="69" t="s">
        <v>246</v>
      </c>
      <c r="G25" s="217"/>
      <c r="H25" s="124" t="s">
        <v>17</v>
      </c>
      <c r="I25" s="125" t="s">
        <v>38</v>
      </c>
      <c r="J25" s="220"/>
      <c r="K25" s="14">
        <v>8975</v>
      </c>
      <c r="L25" s="60">
        <v>8975</v>
      </c>
      <c r="M25" s="122">
        <v>0</v>
      </c>
      <c r="N25" s="9">
        <f t="shared" si="0"/>
        <v>8975</v>
      </c>
      <c r="O25" s="10">
        <f t="shared" si="1"/>
        <v>1</v>
      </c>
      <c r="P25" s="9">
        <f t="shared" si="2"/>
        <v>0</v>
      </c>
      <c r="Q25" s="241" t="s">
        <v>366</v>
      </c>
      <c r="R25" s="131"/>
      <c r="S25" s="75"/>
      <c r="T25" s="75"/>
      <c r="U25" s="75"/>
      <c r="V25" s="75"/>
      <c r="X25" s="75"/>
    </row>
    <row r="26" spans="2:24" ht="31.5" customHeight="1">
      <c r="B26" s="70" t="s">
        <v>367</v>
      </c>
      <c r="C26" s="67" t="s">
        <v>15</v>
      </c>
      <c r="D26" s="52" t="s">
        <v>306</v>
      </c>
      <c r="E26" s="69" t="s">
        <v>246</v>
      </c>
      <c r="F26" s="69" t="s">
        <v>246</v>
      </c>
      <c r="G26" s="217"/>
      <c r="H26" s="124" t="s">
        <v>17</v>
      </c>
      <c r="I26" s="125" t="s">
        <v>38</v>
      </c>
      <c r="J26" s="220"/>
      <c r="K26" s="14">
        <v>0</v>
      </c>
      <c r="L26" s="60">
        <v>0</v>
      </c>
      <c r="M26" s="122">
        <v>0</v>
      </c>
      <c r="N26" s="9">
        <f t="shared" si="0"/>
        <v>0</v>
      </c>
      <c r="O26" s="10">
        <v>0.5</v>
      </c>
      <c r="P26" s="9">
        <f t="shared" si="2"/>
        <v>0</v>
      </c>
      <c r="Q26" s="241" t="s">
        <v>368</v>
      </c>
      <c r="R26" s="131"/>
      <c r="S26" s="75"/>
      <c r="T26" s="75"/>
      <c r="U26" s="75"/>
      <c r="V26" s="75"/>
      <c r="W26" t="s">
        <v>304</v>
      </c>
      <c r="X26" s="75"/>
    </row>
    <row r="27" spans="2:24" ht="31.5" customHeight="1">
      <c r="B27" s="70" t="s">
        <v>369</v>
      </c>
      <c r="C27" s="67" t="s">
        <v>15</v>
      </c>
      <c r="D27" s="52" t="s">
        <v>306</v>
      </c>
      <c r="E27" s="69" t="s">
        <v>246</v>
      </c>
      <c r="F27" s="69" t="s">
        <v>246</v>
      </c>
      <c r="G27" s="217"/>
      <c r="H27" s="124" t="s">
        <v>17</v>
      </c>
      <c r="I27" s="125" t="s">
        <v>253</v>
      </c>
      <c r="J27" s="220"/>
      <c r="K27" s="14">
        <v>3800</v>
      </c>
      <c r="L27" s="60">
        <v>1600</v>
      </c>
      <c r="M27" s="122">
        <v>0</v>
      </c>
      <c r="N27" s="9">
        <f t="shared" si="0"/>
        <v>1600</v>
      </c>
      <c r="O27" s="10">
        <v>0.5</v>
      </c>
      <c r="P27" s="9">
        <f t="shared" si="2"/>
        <v>2200</v>
      </c>
      <c r="Q27" s="241" t="s">
        <v>368</v>
      </c>
      <c r="R27" s="131"/>
      <c r="S27" s="75"/>
      <c r="T27" s="75"/>
      <c r="U27" s="75"/>
      <c r="V27" s="75"/>
      <c r="W27" t="s">
        <v>13</v>
      </c>
      <c r="X27" s="75"/>
    </row>
    <row r="28" spans="2:24" ht="31.5" customHeight="1">
      <c r="B28" s="70" t="s">
        <v>370</v>
      </c>
      <c r="C28" s="67" t="s">
        <v>15</v>
      </c>
      <c r="D28" s="52" t="s">
        <v>306</v>
      </c>
      <c r="E28" s="69" t="s">
        <v>246</v>
      </c>
      <c r="F28" s="69" t="s">
        <v>246</v>
      </c>
      <c r="G28" s="217"/>
      <c r="H28" s="124" t="s">
        <v>17</v>
      </c>
      <c r="I28" s="125" t="s">
        <v>253</v>
      </c>
      <c r="J28" s="220"/>
      <c r="K28" s="14">
        <v>3900</v>
      </c>
      <c r="L28" s="60">
        <v>0</v>
      </c>
      <c r="M28" s="122">
        <v>0</v>
      </c>
      <c r="N28" s="9">
        <f t="shared" si="0"/>
        <v>0</v>
      </c>
      <c r="O28" s="10">
        <v>0.5</v>
      </c>
      <c r="P28" s="9">
        <f t="shared" si="2"/>
        <v>3900</v>
      </c>
      <c r="Q28" s="241" t="s">
        <v>368</v>
      </c>
      <c r="R28" s="131"/>
      <c r="S28" s="75"/>
      <c r="T28" s="75"/>
      <c r="U28" s="75"/>
      <c r="V28" s="75"/>
      <c r="W28" t="s">
        <v>306</v>
      </c>
      <c r="X28" s="75"/>
    </row>
    <row r="29" spans="2:24" ht="31.5" customHeight="1">
      <c r="B29" s="70" t="s">
        <v>371</v>
      </c>
      <c r="C29" s="67" t="s">
        <v>15</v>
      </c>
      <c r="D29" s="52" t="s">
        <v>306</v>
      </c>
      <c r="E29" s="69" t="s">
        <v>246</v>
      </c>
      <c r="F29" s="69" t="s">
        <v>246</v>
      </c>
      <c r="G29" s="217"/>
      <c r="H29" s="124" t="s">
        <v>17</v>
      </c>
      <c r="I29" s="125" t="s">
        <v>253</v>
      </c>
      <c r="J29" s="220"/>
      <c r="K29" s="14">
        <v>3900</v>
      </c>
      <c r="L29" s="60">
        <v>0</v>
      </c>
      <c r="M29" s="122">
        <v>0</v>
      </c>
      <c r="N29" s="9">
        <f t="shared" si="0"/>
        <v>0</v>
      </c>
      <c r="O29" s="10">
        <v>0.5</v>
      </c>
      <c r="P29" s="9">
        <f t="shared" si="2"/>
        <v>3900</v>
      </c>
      <c r="Q29" s="241" t="s">
        <v>368</v>
      </c>
      <c r="R29" s="131"/>
      <c r="S29" s="75"/>
      <c r="T29" s="75"/>
      <c r="U29" s="75"/>
      <c r="V29" s="75"/>
      <c r="X29" s="75"/>
    </row>
    <row r="30" spans="2:24" ht="31.5" customHeight="1">
      <c r="B30" s="70" t="s">
        <v>372</v>
      </c>
      <c r="C30" s="67" t="s">
        <v>15</v>
      </c>
      <c r="D30" s="52" t="s">
        <v>306</v>
      </c>
      <c r="E30" s="69" t="s">
        <v>246</v>
      </c>
      <c r="F30" s="69" t="s">
        <v>246</v>
      </c>
      <c r="G30" s="217"/>
      <c r="H30" s="124" t="s">
        <v>17</v>
      </c>
      <c r="I30" s="125" t="s">
        <v>253</v>
      </c>
      <c r="J30" s="220"/>
      <c r="K30" s="14">
        <v>3900</v>
      </c>
      <c r="L30" s="60">
        <v>0</v>
      </c>
      <c r="M30" s="122">
        <v>0</v>
      </c>
      <c r="N30" s="9">
        <f t="shared" si="0"/>
        <v>0</v>
      </c>
      <c r="O30" s="10">
        <v>0.5</v>
      </c>
      <c r="P30" s="9">
        <f t="shared" si="2"/>
        <v>3900</v>
      </c>
      <c r="Q30" s="241" t="s">
        <v>368</v>
      </c>
      <c r="R30" s="131"/>
      <c r="S30" s="75"/>
      <c r="T30" s="75"/>
      <c r="U30" s="75"/>
      <c r="V30" s="75"/>
      <c r="X30" s="75"/>
    </row>
    <row r="31" spans="2:24" ht="31.5" customHeight="1">
      <c r="B31" s="70" t="s">
        <v>373</v>
      </c>
      <c r="C31" s="67" t="s">
        <v>15</v>
      </c>
      <c r="D31" s="52" t="s">
        <v>306</v>
      </c>
      <c r="E31" s="69" t="s">
        <v>246</v>
      </c>
      <c r="F31" s="69" t="s">
        <v>246</v>
      </c>
      <c r="G31" s="217"/>
      <c r="H31" s="124" t="s">
        <v>17</v>
      </c>
      <c r="I31" s="125" t="s">
        <v>253</v>
      </c>
      <c r="J31" s="220"/>
      <c r="K31" s="14">
        <v>2900</v>
      </c>
      <c r="L31" s="60">
        <v>0</v>
      </c>
      <c r="M31" s="122">
        <v>0</v>
      </c>
      <c r="N31" s="9">
        <f t="shared" si="0"/>
        <v>0</v>
      </c>
      <c r="O31" s="10">
        <v>0.5</v>
      </c>
      <c r="P31" s="9">
        <f t="shared" si="2"/>
        <v>2900</v>
      </c>
      <c r="Q31" s="241" t="s">
        <v>368</v>
      </c>
      <c r="R31" s="131"/>
      <c r="S31" s="75"/>
      <c r="T31" s="75"/>
      <c r="U31" s="75"/>
      <c r="V31" s="75"/>
      <c r="X31" s="75"/>
    </row>
    <row r="32" spans="2:24" ht="31.5" customHeight="1">
      <c r="B32" s="70" t="s">
        <v>374</v>
      </c>
      <c r="C32" s="67" t="s">
        <v>15</v>
      </c>
      <c r="D32" s="52" t="s">
        <v>306</v>
      </c>
      <c r="E32" s="69" t="s">
        <v>246</v>
      </c>
      <c r="F32" s="69" t="s">
        <v>246</v>
      </c>
      <c r="G32" s="217"/>
      <c r="H32" s="124" t="s">
        <v>17</v>
      </c>
      <c r="I32" s="125" t="s">
        <v>253</v>
      </c>
      <c r="J32" s="220"/>
      <c r="K32" s="14">
        <v>2900</v>
      </c>
      <c r="L32" s="60">
        <v>0</v>
      </c>
      <c r="M32" s="122">
        <v>0</v>
      </c>
      <c r="N32" s="9">
        <f t="shared" si="0"/>
        <v>0</v>
      </c>
      <c r="O32" s="10">
        <v>0.5</v>
      </c>
      <c r="P32" s="9">
        <f t="shared" si="2"/>
        <v>2900</v>
      </c>
      <c r="Q32" s="241" t="s">
        <v>368</v>
      </c>
      <c r="R32" s="131"/>
      <c r="S32" s="75"/>
      <c r="T32" s="75"/>
      <c r="U32" s="75"/>
      <c r="V32" s="75"/>
      <c r="X32" s="75"/>
    </row>
    <row r="33" spans="2:27" ht="31.5" customHeight="1">
      <c r="B33" s="70" t="s">
        <v>375</v>
      </c>
      <c r="C33" s="67" t="s">
        <v>15</v>
      </c>
      <c r="D33" s="52" t="s">
        <v>306</v>
      </c>
      <c r="E33" s="69" t="s">
        <v>246</v>
      </c>
      <c r="F33" s="69" t="s">
        <v>246</v>
      </c>
      <c r="G33" s="217"/>
      <c r="H33" s="124" t="s">
        <v>17</v>
      </c>
      <c r="I33" s="125" t="s">
        <v>253</v>
      </c>
      <c r="J33" s="220"/>
      <c r="K33" s="14">
        <v>2900</v>
      </c>
      <c r="L33" s="60">
        <v>0</v>
      </c>
      <c r="M33" s="122">
        <v>0</v>
      </c>
      <c r="N33" s="9">
        <f t="shared" si="0"/>
        <v>0</v>
      </c>
      <c r="O33" s="10">
        <v>0.5</v>
      </c>
      <c r="P33" s="9">
        <f t="shared" si="2"/>
        <v>2900</v>
      </c>
      <c r="Q33" s="241" t="s">
        <v>368</v>
      </c>
      <c r="R33" s="131"/>
      <c r="S33" s="75"/>
      <c r="T33" s="75"/>
      <c r="U33" s="75"/>
      <c r="V33" s="75"/>
      <c r="X33" s="75"/>
    </row>
    <row r="34" spans="2:27" ht="42">
      <c r="B34" s="70" t="s">
        <v>376</v>
      </c>
      <c r="C34" s="67" t="s">
        <v>15</v>
      </c>
      <c r="D34" s="52" t="s">
        <v>306</v>
      </c>
      <c r="E34" s="69" t="s">
        <v>246</v>
      </c>
      <c r="F34" s="69" t="s">
        <v>246</v>
      </c>
      <c r="G34" s="217"/>
      <c r="H34" s="124" t="s">
        <v>17</v>
      </c>
      <c r="I34" s="125" t="s">
        <v>253</v>
      </c>
      <c r="J34" s="220"/>
      <c r="K34" s="14">
        <v>3900</v>
      </c>
      <c r="L34" s="60">
        <v>0</v>
      </c>
      <c r="M34" s="122">
        <v>0</v>
      </c>
      <c r="N34" s="9">
        <f t="shared" si="0"/>
        <v>0</v>
      </c>
      <c r="O34" s="10">
        <v>0.5</v>
      </c>
      <c r="P34" s="9">
        <f t="shared" si="2"/>
        <v>3900</v>
      </c>
      <c r="Q34" s="241" t="s">
        <v>368</v>
      </c>
      <c r="R34" s="131"/>
      <c r="S34" s="75"/>
      <c r="T34" s="75"/>
      <c r="U34" s="75"/>
      <c r="V34" s="75"/>
      <c r="X34" s="75"/>
    </row>
    <row r="35" spans="2:27" ht="42">
      <c r="B35" s="70" t="s">
        <v>377</v>
      </c>
      <c r="C35" s="238" t="s">
        <v>15</v>
      </c>
      <c r="D35" s="156" t="s">
        <v>306</v>
      </c>
      <c r="E35" s="226" t="s">
        <v>246</v>
      </c>
      <c r="F35" s="226" t="s">
        <v>246</v>
      </c>
      <c r="G35" s="217"/>
      <c r="H35" s="124" t="s">
        <v>17</v>
      </c>
      <c r="I35" s="125" t="s">
        <v>253</v>
      </c>
      <c r="J35" s="220"/>
      <c r="K35" s="60">
        <v>2900</v>
      </c>
      <c r="L35" s="60">
        <v>0</v>
      </c>
      <c r="M35" s="122">
        <v>0</v>
      </c>
      <c r="N35" s="9">
        <f t="shared" si="0"/>
        <v>0</v>
      </c>
      <c r="O35" s="10">
        <v>0.5</v>
      </c>
      <c r="P35" s="9">
        <f t="shared" si="2"/>
        <v>2900</v>
      </c>
      <c r="Q35" s="241" t="s">
        <v>368</v>
      </c>
      <c r="R35" s="131"/>
      <c r="S35" s="75"/>
      <c r="T35" s="75"/>
      <c r="U35" s="75"/>
      <c r="V35" s="75"/>
      <c r="X35" s="75"/>
    </row>
    <row r="36" spans="2:27" ht="36" customHeight="1">
      <c r="B36" s="229" t="s">
        <v>378</v>
      </c>
      <c r="C36" s="67" t="s">
        <v>15</v>
      </c>
      <c r="D36" s="222" t="s">
        <v>306</v>
      </c>
      <c r="E36" s="69" t="s">
        <v>246</v>
      </c>
      <c r="F36" s="69" t="s">
        <v>246</v>
      </c>
      <c r="G36" s="225"/>
      <c r="H36" s="124" t="s">
        <v>17</v>
      </c>
      <c r="I36" s="125" t="s">
        <v>253</v>
      </c>
      <c r="J36" s="220"/>
      <c r="K36" s="60">
        <v>3900</v>
      </c>
      <c r="L36" s="60">
        <v>0</v>
      </c>
      <c r="M36" s="122">
        <v>0</v>
      </c>
      <c r="N36" s="9">
        <f t="shared" si="0"/>
        <v>0</v>
      </c>
      <c r="O36" s="10">
        <v>0.5</v>
      </c>
      <c r="P36" s="9">
        <f t="shared" si="2"/>
        <v>3900</v>
      </c>
      <c r="Q36" s="241" t="s">
        <v>368</v>
      </c>
      <c r="R36" s="131"/>
      <c r="S36" s="75"/>
      <c r="T36" s="75"/>
      <c r="U36" s="75"/>
      <c r="V36" s="75"/>
      <c r="X36" s="75"/>
    </row>
    <row r="37" spans="2:27" ht="36">
      <c r="B37" s="228" t="s">
        <v>379</v>
      </c>
      <c r="C37" s="239" t="s">
        <v>15</v>
      </c>
      <c r="D37" s="223" t="s">
        <v>306</v>
      </c>
      <c r="E37" s="240" t="s">
        <v>246</v>
      </c>
      <c r="F37" s="240" t="s">
        <v>42</v>
      </c>
      <c r="G37" s="217"/>
      <c r="H37" s="124" t="s">
        <v>17</v>
      </c>
      <c r="I37" s="125" t="s">
        <v>253</v>
      </c>
      <c r="J37" s="220"/>
      <c r="K37" s="14">
        <v>2950</v>
      </c>
      <c r="L37" s="60">
        <v>0</v>
      </c>
      <c r="M37" s="122">
        <v>0</v>
      </c>
      <c r="N37" s="9">
        <f t="shared" si="0"/>
        <v>0</v>
      </c>
      <c r="O37" s="10">
        <f t="shared" si="1"/>
        <v>0</v>
      </c>
      <c r="P37" s="9">
        <f t="shared" si="2"/>
        <v>2950</v>
      </c>
      <c r="Q37" s="241" t="s">
        <v>380</v>
      </c>
      <c r="R37" s="131"/>
      <c r="S37" s="75"/>
      <c r="T37" s="75"/>
      <c r="U37" s="75"/>
      <c r="V37" s="75"/>
      <c r="X37" s="75"/>
    </row>
    <row r="38" spans="2:27" ht="22.5">
      <c r="B38" s="70" t="s">
        <v>381</v>
      </c>
      <c r="C38" s="67" t="s">
        <v>382</v>
      </c>
      <c r="D38" s="156" t="s">
        <v>306</v>
      </c>
      <c r="E38" s="226" t="s">
        <v>246</v>
      </c>
      <c r="F38" s="226" t="s">
        <v>42</v>
      </c>
      <c r="G38" s="217"/>
      <c r="H38" s="124" t="s">
        <v>17</v>
      </c>
      <c r="I38" s="125" t="s">
        <v>253</v>
      </c>
      <c r="J38" s="220"/>
      <c r="K38" s="14">
        <v>5600</v>
      </c>
      <c r="L38" s="60">
        <v>5600</v>
      </c>
      <c r="M38" s="122">
        <v>5600</v>
      </c>
      <c r="N38" s="9">
        <f t="shared" si="0"/>
        <v>0</v>
      </c>
      <c r="O38" s="10">
        <f t="shared" si="1"/>
        <v>1</v>
      </c>
      <c r="P38" s="9">
        <f t="shared" si="2"/>
        <v>0</v>
      </c>
      <c r="Q38" s="241" t="s">
        <v>383</v>
      </c>
      <c r="R38" s="131"/>
      <c r="S38" s="75"/>
      <c r="T38" s="75"/>
      <c r="U38" s="75"/>
      <c r="V38" s="75"/>
      <c r="X38" s="75"/>
    </row>
    <row r="39" spans="2:27" ht="31.5">
      <c r="B39" s="244" t="s">
        <v>384</v>
      </c>
      <c r="C39" s="67" t="s">
        <v>15</v>
      </c>
      <c r="D39" s="253"/>
      <c r="E39" s="69" t="s">
        <v>385</v>
      </c>
      <c r="F39" s="69" t="s">
        <v>42</v>
      </c>
      <c r="G39" s="245"/>
      <c r="H39" s="246" t="s">
        <v>17</v>
      </c>
      <c r="I39" s="247" t="s">
        <v>253</v>
      </c>
      <c r="J39" s="248"/>
      <c r="K39" s="249">
        <v>3600</v>
      </c>
      <c r="L39" s="249">
        <v>3600</v>
      </c>
      <c r="M39" s="250">
        <v>0</v>
      </c>
      <c r="N39" s="249">
        <f t="shared" si="0"/>
        <v>3600</v>
      </c>
      <c r="O39" s="251">
        <f t="shared" si="1"/>
        <v>1</v>
      </c>
      <c r="P39" s="249">
        <f t="shared" si="2"/>
        <v>0</v>
      </c>
      <c r="Q39" s="252" t="s">
        <v>380</v>
      </c>
      <c r="R39" s="254"/>
      <c r="S39" s="75"/>
      <c r="T39" s="75"/>
      <c r="U39" s="75"/>
      <c r="V39" s="75"/>
      <c r="X39" s="75"/>
    </row>
    <row r="40" spans="2:27" ht="31.5">
      <c r="B40" s="327" t="s">
        <v>386</v>
      </c>
      <c r="C40" s="238" t="s">
        <v>387</v>
      </c>
      <c r="D40" s="66"/>
      <c r="E40" s="226" t="s">
        <v>246</v>
      </c>
      <c r="F40" s="226" t="s">
        <v>246</v>
      </c>
      <c r="G40" s="328"/>
      <c r="H40" s="329" t="s">
        <v>17</v>
      </c>
      <c r="I40" s="330" t="s">
        <v>253</v>
      </c>
      <c r="J40" s="331"/>
      <c r="K40" s="332">
        <v>475</v>
      </c>
      <c r="L40" s="332">
        <v>475</v>
      </c>
      <c r="M40" s="333">
        <v>0</v>
      </c>
      <c r="N40" s="332">
        <f t="shared" si="0"/>
        <v>475</v>
      </c>
      <c r="O40" s="334">
        <f t="shared" si="1"/>
        <v>1</v>
      </c>
      <c r="P40" s="332">
        <f t="shared" si="2"/>
        <v>0</v>
      </c>
      <c r="Q40" s="335" t="s">
        <v>388</v>
      </c>
      <c r="R40" s="254"/>
      <c r="S40" s="75"/>
      <c r="T40" s="75"/>
      <c r="U40" s="75"/>
      <c r="V40" s="75"/>
      <c r="X40" s="75"/>
    </row>
    <row r="41" spans="2:27" ht="39.75">
      <c r="B41" s="326" t="s">
        <v>389</v>
      </c>
      <c r="C41" s="67" t="s">
        <v>15</v>
      </c>
      <c r="D41" s="222"/>
      <c r="E41" s="69" t="s">
        <v>246</v>
      </c>
      <c r="F41" s="69" t="s">
        <v>144</v>
      </c>
      <c r="G41" s="245"/>
      <c r="H41" s="246" t="s">
        <v>17</v>
      </c>
      <c r="I41" s="247" t="s">
        <v>38</v>
      </c>
      <c r="J41" s="248"/>
      <c r="K41" s="249">
        <v>9000</v>
      </c>
      <c r="L41" s="249">
        <v>9000</v>
      </c>
      <c r="M41" s="250">
        <v>9000</v>
      </c>
      <c r="N41" s="249">
        <v>9000</v>
      </c>
      <c r="O41" s="251">
        <v>1</v>
      </c>
      <c r="P41" s="249">
        <v>0</v>
      </c>
      <c r="Q41" s="252" t="s">
        <v>390</v>
      </c>
      <c r="R41" s="254"/>
      <c r="S41" s="75"/>
      <c r="T41" s="75"/>
      <c r="U41" s="75"/>
      <c r="V41" s="75"/>
      <c r="X41" s="75"/>
    </row>
    <row r="42" spans="2:27" ht="22.5">
      <c r="B42" s="127"/>
      <c r="C42" s="224"/>
      <c r="D42" s="227"/>
      <c r="E42" s="129"/>
      <c r="F42" s="130"/>
      <c r="G42" s="225"/>
      <c r="H42" s="124"/>
      <c r="I42" s="125"/>
      <c r="J42" s="220"/>
      <c r="K42" s="109"/>
      <c r="L42" s="60"/>
      <c r="M42" s="122"/>
      <c r="N42" s="60">
        <f t="shared" si="0"/>
        <v>0</v>
      </c>
      <c r="O42" s="64" t="e">
        <f t="shared" si="1"/>
        <v>#DIV/0!</v>
      </c>
      <c r="P42" s="60">
        <f t="shared" si="2"/>
        <v>0</v>
      </c>
      <c r="Q42" s="257"/>
      <c r="R42" s="131"/>
      <c r="S42" s="75"/>
      <c r="T42" s="75"/>
      <c r="U42" s="75"/>
      <c r="V42" s="75"/>
      <c r="X42" s="75"/>
    </row>
    <row r="43" spans="2:27" ht="22.5">
      <c r="B43" s="85"/>
      <c r="C43" s="120"/>
      <c r="D43" s="222"/>
      <c r="E43" s="96"/>
      <c r="F43" s="97"/>
      <c r="G43" s="225"/>
      <c r="H43" s="103"/>
      <c r="I43" s="125"/>
      <c r="J43" s="220"/>
      <c r="K43" s="89"/>
      <c r="L43" s="9"/>
      <c r="M43" s="111"/>
      <c r="N43" s="9">
        <f t="shared" si="0"/>
        <v>0</v>
      </c>
      <c r="O43" s="10" t="e">
        <f t="shared" si="1"/>
        <v>#DIV/0!</v>
      </c>
      <c r="P43" s="9">
        <f t="shared" si="2"/>
        <v>0</v>
      </c>
      <c r="Q43" s="174"/>
      <c r="R43" s="121" t="s">
        <v>209</v>
      </c>
      <c r="S43" s="76"/>
      <c r="T43" s="76"/>
      <c r="U43" s="76"/>
      <c r="V43" s="76"/>
      <c r="X43" s="76"/>
    </row>
    <row r="44" spans="2:27" ht="22.5">
      <c r="B44" s="85"/>
      <c r="C44" s="120"/>
      <c r="D44" s="222"/>
      <c r="E44" s="96"/>
      <c r="F44" s="97"/>
      <c r="G44" s="225"/>
      <c r="H44" s="103"/>
      <c r="I44" s="125"/>
      <c r="J44" s="220"/>
      <c r="K44" s="89"/>
      <c r="L44" s="9"/>
      <c r="M44" s="111"/>
      <c r="N44" s="9">
        <f t="shared" si="0"/>
        <v>0</v>
      </c>
      <c r="O44" s="112" t="e">
        <f t="shared" si="1"/>
        <v>#DIV/0!</v>
      </c>
      <c r="P44" s="9">
        <f t="shared" si="2"/>
        <v>0</v>
      </c>
      <c r="Q44" s="158"/>
      <c r="R44" s="121" t="s">
        <v>64</v>
      </c>
      <c r="S44" s="55"/>
      <c r="T44" s="55"/>
      <c r="U44" s="55"/>
      <c r="V44" s="55"/>
      <c r="X44" s="55"/>
      <c r="AA44" t="s">
        <v>70</v>
      </c>
    </row>
    <row r="45" spans="2:27" ht="22.5">
      <c r="B45" s="85"/>
      <c r="C45" s="120"/>
      <c r="D45" s="222"/>
      <c r="E45" s="96"/>
      <c r="F45" s="97"/>
      <c r="G45" s="225"/>
      <c r="H45" s="103"/>
      <c r="I45" s="125"/>
      <c r="J45" s="220"/>
      <c r="K45" s="89"/>
      <c r="L45" s="9"/>
      <c r="M45" s="111"/>
      <c r="N45" s="9">
        <f t="shared" si="0"/>
        <v>0</v>
      </c>
      <c r="O45" s="10" t="e">
        <f t="shared" si="1"/>
        <v>#DIV/0!</v>
      </c>
      <c r="P45" s="9">
        <f t="shared" si="2"/>
        <v>0</v>
      </c>
      <c r="Q45" s="173"/>
      <c r="R45" s="53" t="s">
        <v>38</v>
      </c>
      <c r="S45" s="75"/>
      <c r="T45" s="75"/>
      <c r="U45" s="75"/>
      <c r="V45" s="75"/>
      <c r="X45" s="75"/>
      <c r="AA45" t="s">
        <v>17</v>
      </c>
    </row>
    <row r="46" spans="2:27" ht="22.5">
      <c r="B46" s="85"/>
      <c r="C46" s="120"/>
      <c r="D46" s="222"/>
      <c r="E46" s="96"/>
      <c r="F46" s="97"/>
      <c r="G46" s="225"/>
      <c r="H46" s="103"/>
      <c r="I46" s="125"/>
      <c r="J46" s="220"/>
      <c r="K46" s="89"/>
      <c r="L46" s="9"/>
      <c r="M46" s="111"/>
      <c r="N46" s="9">
        <f t="shared" si="0"/>
        <v>0</v>
      </c>
      <c r="O46" s="10" t="e">
        <f t="shared" si="1"/>
        <v>#DIV/0!</v>
      </c>
      <c r="P46" s="9">
        <f t="shared" si="2"/>
        <v>0</v>
      </c>
      <c r="Q46" s="175"/>
      <c r="R46" s="53" t="s">
        <v>55</v>
      </c>
      <c r="S46" s="181"/>
      <c r="T46" s="181"/>
      <c r="U46" s="181"/>
      <c r="V46" s="181"/>
      <c r="X46" s="181"/>
      <c r="AA46" t="s">
        <v>56</v>
      </c>
    </row>
    <row r="47" spans="2:27" ht="22.5">
      <c r="B47" s="85"/>
      <c r="C47" s="120"/>
      <c r="D47" s="222"/>
      <c r="E47" s="96"/>
      <c r="F47" s="97"/>
      <c r="G47" s="225"/>
      <c r="H47" s="103"/>
      <c r="I47" s="125"/>
      <c r="J47" s="220"/>
      <c r="K47" s="89"/>
      <c r="L47" s="9"/>
      <c r="M47" s="111"/>
      <c r="N47" s="9">
        <f t="shared" si="0"/>
        <v>0</v>
      </c>
      <c r="O47" s="10" t="e">
        <f t="shared" si="1"/>
        <v>#DIV/0!</v>
      </c>
      <c r="P47" s="9">
        <f t="shared" si="2"/>
        <v>0</v>
      </c>
      <c r="Q47" s="176"/>
      <c r="R47" s="53" t="s">
        <v>64</v>
      </c>
      <c r="AA47" t="s">
        <v>67</v>
      </c>
    </row>
    <row r="48" spans="2:27" ht="22.5">
      <c r="B48" s="85"/>
      <c r="C48" s="120"/>
      <c r="D48" s="222"/>
      <c r="E48" s="96"/>
      <c r="F48" s="97"/>
      <c r="G48" s="225"/>
      <c r="H48" s="103"/>
      <c r="I48" s="125"/>
      <c r="J48" s="220"/>
      <c r="K48" s="89"/>
      <c r="L48" s="9"/>
      <c r="M48" s="111"/>
      <c r="N48" s="9">
        <f t="shared" si="0"/>
        <v>0</v>
      </c>
      <c r="O48" s="10" t="e">
        <f t="shared" si="1"/>
        <v>#DIV/0!</v>
      </c>
      <c r="P48" s="9">
        <f t="shared" si="2"/>
        <v>0</v>
      </c>
      <c r="Q48" s="159"/>
      <c r="R48" s="53" t="s">
        <v>55</v>
      </c>
      <c r="S48" s="77"/>
      <c r="T48" s="77"/>
      <c r="U48" s="77"/>
      <c r="V48" s="77"/>
      <c r="X48" s="77"/>
      <c r="AA48" t="s">
        <v>50</v>
      </c>
    </row>
    <row r="49" spans="2:27" ht="72" customHeight="1">
      <c r="B49" s="86"/>
      <c r="C49" s="120"/>
      <c r="D49" s="227"/>
      <c r="E49" s="96"/>
      <c r="F49" s="97"/>
      <c r="G49" s="217"/>
      <c r="H49" s="103"/>
      <c r="I49" s="125"/>
      <c r="J49" s="220"/>
      <c r="K49" s="89"/>
      <c r="L49" s="9"/>
      <c r="M49" s="111"/>
      <c r="N49" s="9">
        <f t="shared" si="0"/>
        <v>0</v>
      </c>
      <c r="O49" s="112" t="e">
        <f t="shared" si="1"/>
        <v>#DIV/0!</v>
      </c>
      <c r="P49" s="9">
        <f t="shared" si="2"/>
        <v>0</v>
      </c>
      <c r="Q49" s="159"/>
      <c r="R49" s="53" t="s">
        <v>64</v>
      </c>
      <c r="S49" s="77"/>
      <c r="T49" s="77"/>
      <c r="U49" s="77"/>
      <c r="V49" s="77"/>
      <c r="X49" s="77"/>
      <c r="AA49" t="s">
        <v>37</v>
      </c>
    </row>
    <row r="50" spans="2:27" ht="54" customHeight="1">
      <c r="B50" s="85"/>
      <c r="C50" s="120"/>
      <c r="D50" s="222"/>
      <c r="E50" s="96"/>
      <c r="F50" s="97"/>
      <c r="G50" s="217"/>
      <c r="H50" s="103"/>
      <c r="I50" s="125"/>
      <c r="J50" s="220"/>
      <c r="K50" s="89"/>
      <c r="L50" s="9"/>
      <c r="M50" s="111"/>
      <c r="N50" s="9">
        <f t="shared" si="0"/>
        <v>0</v>
      </c>
      <c r="O50" s="112" t="e">
        <f t="shared" si="1"/>
        <v>#DIV/0!</v>
      </c>
      <c r="P50" s="9">
        <f t="shared" si="2"/>
        <v>0</v>
      </c>
      <c r="Q50" s="177"/>
      <c r="R50" s="121" t="s">
        <v>55</v>
      </c>
      <c r="S50" s="78"/>
      <c r="T50" s="78"/>
      <c r="U50" s="78"/>
      <c r="V50" s="78"/>
      <c r="X50" s="78"/>
      <c r="AA50" t="s">
        <v>90</v>
      </c>
    </row>
    <row r="51" spans="2:27" ht="42" customHeight="1">
      <c r="B51" s="87"/>
      <c r="C51" s="120"/>
      <c r="D51" s="222"/>
      <c r="E51" s="96"/>
      <c r="F51" s="97"/>
      <c r="G51" s="217"/>
      <c r="H51" s="103"/>
      <c r="I51" s="125"/>
      <c r="J51" s="220"/>
      <c r="K51" s="89"/>
      <c r="L51" s="9"/>
      <c r="M51" s="111"/>
      <c r="N51" s="9">
        <f t="shared" si="0"/>
        <v>0</v>
      </c>
      <c r="O51" s="10" t="e">
        <f t="shared" si="1"/>
        <v>#DIV/0!</v>
      </c>
      <c r="P51" s="9">
        <f t="shared" si="2"/>
        <v>0</v>
      </c>
      <c r="Q51" s="160"/>
      <c r="R51" s="53" t="s">
        <v>64</v>
      </c>
      <c r="S51" s="79"/>
      <c r="T51" s="79"/>
      <c r="U51" s="79"/>
      <c r="V51" s="79"/>
      <c r="X51" s="79"/>
    </row>
    <row r="52" spans="2:27" ht="22.5">
      <c r="B52" s="86"/>
      <c r="C52" s="54"/>
      <c r="D52" s="223"/>
      <c r="E52" s="96"/>
      <c r="F52" s="97"/>
      <c r="G52" s="217"/>
      <c r="H52" s="103"/>
      <c r="I52" s="125"/>
      <c r="J52" s="220"/>
      <c r="K52" s="90"/>
      <c r="L52" s="11"/>
      <c r="M52" s="111">
        <v>0</v>
      </c>
      <c r="N52" s="9">
        <f t="shared" si="0"/>
        <v>0</v>
      </c>
      <c r="O52" s="10" t="e">
        <f t="shared" si="1"/>
        <v>#DIV/0!</v>
      </c>
      <c r="P52" s="9">
        <f t="shared" si="2"/>
        <v>0</v>
      </c>
      <c r="Q52" s="116"/>
      <c r="R52" s="121" t="s">
        <v>55</v>
      </c>
      <c r="S52" s="77"/>
      <c r="T52" s="77"/>
      <c r="U52" s="77"/>
      <c r="V52" s="77"/>
      <c r="X52" s="77"/>
    </row>
    <row r="53" spans="2:27" ht="22.5">
      <c r="B53" s="86"/>
      <c r="C53" s="100"/>
      <c r="D53" s="52"/>
      <c r="E53" s="96"/>
      <c r="F53" s="97"/>
      <c r="G53" s="217"/>
      <c r="H53" s="103"/>
      <c r="I53" s="125"/>
      <c r="J53" s="220"/>
      <c r="K53" s="90"/>
      <c r="L53" s="11"/>
      <c r="M53" s="111">
        <v>0</v>
      </c>
      <c r="N53" s="9">
        <f t="shared" si="0"/>
        <v>0</v>
      </c>
      <c r="O53" s="10" t="e">
        <f t="shared" si="1"/>
        <v>#DIV/0!</v>
      </c>
      <c r="P53" s="9">
        <f t="shared" si="2"/>
        <v>0</v>
      </c>
      <c r="Q53" s="117"/>
      <c r="R53" s="121" t="s">
        <v>55</v>
      </c>
      <c r="S53" s="77"/>
      <c r="T53" s="77"/>
      <c r="U53" s="77"/>
      <c r="V53" s="77"/>
      <c r="X53" s="77"/>
    </row>
    <row r="54" spans="2:27" ht="22.5">
      <c r="B54" s="86"/>
      <c r="C54" s="100"/>
      <c r="D54" s="52"/>
      <c r="E54" s="96"/>
      <c r="F54" s="97"/>
      <c r="G54" s="217"/>
      <c r="H54" s="103"/>
      <c r="I54" s="125"/>
      <c r="J54" s="220"/>
      <c r="K54" s="90"/>
      <c r="L54" s="11"/>
      <c r="M54" s="111">
        <v>0</v>
      </c>
      <c r="N54" s="9">
        <f t="shared" si="0"/>
        <v>0</v>
      </c>
      <c r="O54" s="10" t="e">
        <f t="shared" si="1"/>
        <v>#DIV/0!</v>
      </c>
      <c r="P54" s="9">
        <f t="shared" si="2"/>
        <v>0</v>
      </c>
      <c r="Q54" s="119"/>
      <c r="R54" s="121" t="s">
        <v>55</v>
      </c>
      <c r="S54" s="80"/>
      <c r="T54" s="80"/>
      <c r="U54" s="80"/>
      <c r="V54" s="80"/>
      <c r="X54" s="80"/>
    </row>
    <row r="55" spans="2:27" ht="22.5">
      <c r="B55" s="86"/>
      <c r="C55" s="100"/>
      <c r="D55" s="52"/>
      <c r="E55" s="96"/>
      <c r="F55" s="97"/>
      <c r="G55" s="217"/>
      <c r="H55" s="103"/>
      <c r="I55" s="125"/>
      <c r="J55" s="220"/>
      <c r="K55" s="90"/>
      <c r="L55" s="11"/>
      <c r="M55" s="111">
        <v>0</v>
      </c>
      <c r="N55" s="9">
        <f t="shared" si="0"/>
        <v>0</v>
      </c>
      <c r="O55" s="10" t="e">
        <f t="shared" si="1"/>
        <v>#DIV/0!</v>
      </c>
      <c r="P55" s="9">
        <f t="shared" si="2"/>
        <v>0</v>
      </c>
      <c r="Q55" s="116"/>
      <c r="R55" s="121" t="s">
        <v>55</v>
      </c>
      <c r="S55" s="77"/>
      <c r="T55" s="77"/>
      <c r="U55" s="77"/>
      <c r="V55" s="77"/>
      <c r="X55" s="77"/>
    </row>
    <row r="56" spans="2:27" ht="22.5">
      <c r="B56" s="85"/>
      <c r="C56" s="54"/>
      <c r="D56" s="52"/>
      <c r="E56" s="96"/>
      <c r="F56" s="97"/>
      <c r="G56" s="217"/>
      <c r="H56" s="103"/>
      <c r="I56" s="125"/>
      <c r="J56" s="220"/>
      <c r="K56" s="89"/>
      <c r="L56" s="9"/>
      <c r="M56" s="111">
        <v>0</v>
      </c>
      <c r="N56" s="9">
        <f t="shared" si="0"/>
        <v>0</v>
      </c>
      <c r="O56" s="10" t="e">
        <f t="shared" si="1"/>
        <v>#DIV/0!</v>
      </c>
      <c r="P56" s="9">
        <f t="shared" si="2"/>
        <v>0</v>
      </c>
      <c r="Q56" s="120"/>
      <c r="R56" s="53" t="s">
        <v>55</v>
      </c>
      <c r="S56" s="61"/>
      <c r="T56" s="61"/>
      <c r="U56" s="61"/>
      <c r="V56" s="61"/>
      <c r="X56" s="61"/>
    </row>
    <row r="57" spans="2:27" ht="22.5">
      <c r="B57" s="85"/>
      <c r="C57" s="54"/>
      <c r="D57" s="52"/>
      <c r="E57" s="96"/>
      <c r="F57" s="97"/>
      <c r="G57" s="217"/>
      <c r="H57" s="103"/>
      <c r="I57" s="125"/>
      <c r="J57" s="220"/>
      <c r="K57" s="89"/>
      <c r="L57" s="9"/>
      <c r="M57" s="111">
        <v>0</v>
      </c>
      <c r="N57" s="9">
        <f t="shared" si="0"/>
        <v>0</v>
      </c>
      <c r="O57" s="112" t="e">
        <f t="shared" si="1"/>
        <v>#DIV/0!</v>
      </c>
      <c r="P57" s="9">
        <f t="shared" si="2"/>
        <v>0</v>
      </c>
      <c r="Q57" s="117"/>
      <c r="R57" s="53" t="s">
        <v>64</v>
      </c>
      <c r="S57" s="77"/>
      <c r="T57" s="77"/>
      <c r="U57" s="77"/>
      <c r="V57" s="77"/>
      <c r="X57" s="77"/>
    </row>
    <row r="58" spans="2:27" ht="72" customHeight="1">
      <c r="B58" s="86"/>
      <c r="C58" s="54"/>
      <c r="D58" s="52"/>
      <c r="E58" s="96"/>
      <c r="F58" s="97"/>
      <c r="G58" s="217"/>
      <c r="H58" s="103"/>
      <c r="I58" s="125"/>
      <c r="J58" s="220"/>
      <c r="K58" s="89"/>
      <c r="L58" s="9"/>
      <c r="M58" s="111">
        <v>0</v>
      </c>
      <c r="N58" s="9">
        <f t="shared" si="0"/>
        <v>0</v>
      </c>
      <c r="O58" s="10" t="e">
        <f t="shared" si="1"/>
        <v>#DIV/0!</v>
      </c>
      <c r="P58" s="9">
        <f t="shared" si="2"/>
        <v>0</v>
      </c>
      <c r="Q58" s="117"/>
      <c r="R58" s="53" t="s">
        <v>64</v>
      </c>
      <c r="S58" s="77"/>
      <c r="T58" s="77"/>
      <c r="U58" s="77"/>
      <c r="V58" s="77"/>
      <c r="X58" s="77"/>
    </row>
    <row r="59" spans="2:27" ht="22.5">
      <c r="B59" s="86"/>
      <c r="C59" s="54"/>
      <c r="D59" s="52"/>
      <c r="E59" s="96"/>
      <c r="F59" s="97"/>
      <c r="G59" s="217"/>
      <c r="H59" s="103"/>
      <c r="I59" s="125"/>
      <c r="J59" s="220"/>
      <c r="K59" s="89"/>
      <c r="L59" s="9"/>
      <c r="M59" s="111">
        <v>0</v>
      </c>
      <c r="N59" s="9">
        <f t="shared" si="0"/>
        <v>0</v>
      </c>
      <c r="O59" s="10" t="e">
        <f t="shared" si="1"/>
        <v>#DIV/0!</v>
      </c>
      <c r="P59" s="9">
        <f t="shared" si="2"/>
        <v>0</v>
      </c>
      <c r="Q59" s="117"/>
      <c r="R59" s="53" t="s">
        <v>55</v>
      </c>
      <c r="S59" s="77"/>
      <c r="T59" s="77"/>
      <c r="U59" s="77"/>
      <c r="V59" s="77"/>
      <c r="X59" s="77"/>
    </row>
    <row r="60" spans="2:27" ht="36" customHeight="1">
      <c r="B60" s="88"/>
      <c r="C60" s="54"/>
      <c r="D60" s="52"/>
      <c r="E60" s="96"/>
      <c r="F60" s="97"/>
      <c r="G60" s="217"/>
      <c r="H60" s="103"/>
      <c r="I60" s="125"/>
      <c r="J60" s="220"/>
      <c r="K60" s="91"/>
      <c r="L60" s="9"/>
      <c r="M60" s="111">
        <v>0</v>
      </c>
      <c r="N60" s="9">
        <f t="shared" si="0"/>
        <v>0</v>
      </c>
      <c r="O60" s="10" t="e">
        <f t="shared" si="1"/>
        <v>#DIV/0!</v>
      </c>
      <c r="P60" s="9">
        <f t="shared" si="2"/>
        <v>0</v>
      </c>
      <c r="Q60" s="178"/>
      <c r="R60" s="53" t="s">
        <v>64</v>
      </c>
      <c r="AA60" t="s">
        <v>97</v>
      </c>
    </row>
    <row r="61" spans="2:27" ht="54" customHeight="1">
      <c r="B61" s="85"/>
      <c r="C61" s="54"/>
      <c r="D61" s="52"/>
      <c r="E61" s="96"/>
      <c r="F61" s="97"/>
      <c r="G61" s="217"/>
      <c r="H61" s="103"/>
      <c r="I61" s="125"/>
      <c r="J61" s="220"/>
      <c r="K61" s="91"/>
      <c r="L61" s="9"/>
      <c r="M61" s="111">
        <v>0</v>
      </c>
      <c r="N61" s="9">
        <f t="shared" si="0"/>
        <v>0</v>
      </c>
      <c r="O61" s="10" t="e">
        <f t="shared" si="1"/>
        <v>#DIV/0!</v>
      </c>
      <c r="P61" s="9">
        <f t="shared" si="2"/>
        <v>0</v>
      </c>
      <c r="Q61" s="178"/>
      <c r="R61" s="53" t="s">
        <v>64</v>
      </c>
      <c r="AA61" t="s">
        <v>37</v>
      </c>
    </row>
    <row r="62" spans="2:27" ht="63" customHeight="1">
      <c r="B62" s="85"/>
      <c r="C62" s="54"/>
      <c r="D62" s="52"/>
      <c r="E62" s="96"/>
      <c r="F62" s="97"/>
      <c r="G62" s="217"/>
      <c r="H62" s="103"/>
      <c r="I62" s="102"/>
      <c r="J62" s="220"/>
      <c r="K62" s="91"/>
      <c r="L62" s="9"/>
      <c r="M62" s="111"/>
      <c r="N62" s="9">
        <f t="shared" si="0"/>
        <v>0</v>
      </c>
      <c r="O62" s="10" t="e">
        <f t="shared" si="1"/>
        <v>#DIV/0!</v>
      </c>
      <c r="P62" s="9">
        <f t="shared" si="2"/>
        <v>0</v>
      </c>
      <c r="Q62" s="178"/>
      <c r="R62" s="53" t="s">
        <v>64</v>
      </c>
      <c r="AA62" t="s">
        <v>104</v>
      </c>
    </row>
    <row r="63" spans="2:27" ht="63" customHeight="1">
      <c r="B63" s="86"/>
      <c r="C63" s="54"/>
      <c r="D63" s="52"/>
      <c r="E63" s="96"/>
      <c r="F63" s="97"/>
      <c r="G63" s="217"/>
      <c r="H63" s="103"/>
      <c r="I63" s="102"/>
      <c r="J63" s="220"/>
      <c r="K63" s="89"/>
      <c r="L63" s="9"/>
      <c r="M63" s="111"/>
      <c r="N63" s="9">
        <f t="shared" si="0"/>
        <v>0</v>
      </c>
      <c r="O63" s="10" t="e">
        <f t="shared" si="1"/>
        <v>#DIV/0!</v>
      </c>
      <c r="P63" s="9">
        <f t="shared" si="2"/>
        <v>0</v>
      </c>
      <c r="Q63" s="178"/>
      <c r="R63" s="53"/>
    </row>
    <row r="64" spans="2:27" ht="22.5">
      <c r="B64" s="86"/>
      <c r="C64" s="100"/>
      <c r="D64" s="52"/>
      <c r="E64" s="96"/>
      <c r="F64" s="97"/>
      <c r="G64" s="217"/>
      <c r="H64" s="103"/>
      <c r="I64" s="102"/>
      <c r="J64" s="220"/>
      <c r="K64" s="90"/>
      <c r="L64" s="11"/>
      <c r="M64" s="111"/>
      <c r="N64" s="9">
        <f t="shared" si="0"/>
        <v>0</v>
      </c>
      <c r="O64" s="10" t="e">
        <f t="shared" si="1"/>
        <v>#DIV/0!</v>
      </c>
      <c r="P64" s="9">
        <f t="shared" si="2"/>
        <v>0</v>
      </c>
      <c r="Q64" s="120"/>
      <c r="R64" s="53" t="s">
        <v>55</v>
      </c>
      <c r="S64" s="61"/>
      <c r="T64" s="61"/>
      <c r="U64" s="61"/>
      <c r="V64" s="61"/>
      <c r="X64" s="61"/>
    </row>
    <row r="65" spans="2:18" ht="72" customHeight="1">
      <c r="B65" s="86"/>
      <c r="C65" s="54"/>
      <c r="D65" s="52"/>
      <c r="E65" s="96"/>
      <c r="F65" s="97"/>
      <c r="G65" s="217"/>
      <c r="H65" s="103"/>
      <c r="I65" s="102"/>
      <c r="J65" s="220"/>
      <c r="K65" s="89"/>
      <c r="L65" s="9"/>
      <c r="M65" s="111"/>
      <c r="N65" s="9">
        <f t="shared" si="0"/>
        <v>0</v>
      </c>
      <c r="O65" s="10" t="e">
        <f t="shared" si="1"/>
        <v>#DIV/0!</v>
      </c>
      <c r="P65" s="9">
        <f t="shared" si="2"/>
        <v>0</v>
      </c>
      <c r="Q65" s="178"/>
      <c r="R65" s="53"/>
    </row>
    <row r="66" spans="2:18" ht="18" customHeight="1">
      <c r="B66" s="86"/>
      <c r="C66" s="54"/>
      <c r="D66" s="52"/>
      <c r="E66" s="96"/>
      <c r="F66" s="97"/>
      <c r="G66" s="217"/>
      <c r="H66" s="103"/>
      <c r="I66" s="102"/>
      <c r="J66" s="220"/>
      <c r="K66" s="89"/>
      <c r="L66" s="9"/>
      <c r="M66" s="111"/>
      <c r="N66" s="9">
        <f t="shared" si="0"/>
        <v>0</v>
      </c>
      <c r="O66" s="10" t="e">
        <f t="shared" si="1"/>
        <v>#DIV/0!</v>
      </c>
      <c r="P66" s="9">
        <f t="shared" si="2"/>
        <v>0</v>
      </c>
      <c r="Q66" s="178"/>
      <c r="R66" s="53"/>
    </row>
    <row r="67" spans="2:18" ht="72" customHeight="1">
      <c r="B67" s="86"/>
      <c r="C67" s="54"/>
      <c r="D67" s="52"/>
      <c r="E67" s="96"/>
      <c r="F67" s="97"/>
      <c r="G67" s="217"/>
      <c r="H67" s="103"/>
      <c r="I67" s="102"/>
      <c r="J67" s="220"/>
      <c r="K67" s="89"/>
      <c r="L67" s="9"/>
      <c r="M67" s="111"/>
      <c r="N67" s="9">
        <f t="shared" si="0"/>
        <v>0</v>
      </c>
      <c r="O67" s="10" t="e">
        <f t="shared" si="1"/>
        <v>#DIV/0!</v>
      </c>
      <c r="P67" s="9">
        <f t="shared" si="2"/>
        <v>0</v>
      </c>
      <c r="Q67" s="178"/>
      <c r="R67" s="53"/>
    </row>
    <row r="68" spans="2:18" ht="54" customHeight="1">
      <c r="B68" s="88"/>
      <c r="C68" s="54"/>
      <c r="D68" s="52"/>
      <c r="E68" s="96"/>
      <c r="F68" s="97"/>
      <c r="G68" s="218"/>
      <c r="H68" s="103"/>
      <c r="I68" s="102"/>
      <c r="J68" s="221"/>
      <c r="K68" s="89"/>
      <c r="L68" s="9"/>
      <c r="M68" s="111"/>
      <c r="N68" s="9">
        <f t="shared" si="0"/>
        <v>0</v>
      </c>
      <c r="O68" s="10" t="e">
        <f t="shared" si="1"/>
        <v>#DIV/0!</v>
      </c>
      <c r="P68" s="9">
        <f t="shared" si="2"/>
        <v>0</v>
      </c>
      <c r="Q68" s="178"/>
      <c r="R68" s="53"/>
    </row>
    <row r="69" spans="2:18" ht="15.75">
      <c r="D69" s="66"/>
      <c r="K69" s="22">
        <f>SUM(K8:K68)</f>
        <v>199047.5</v>
      </c>
      <c r="L69" s="22">
        <f>SUM(L8:L68)</f>
        <v>142197.5</v>
      </c>
      <c r="M69" s="22">
        <f>SUM(M8:M68)</f>
        <v>42995.5</v>
      </c>
      <c r="N69" s="22">
        <f>SUM(N8:N68)</f>
        <v>108202</v>
      </c>
      <c r="P69" s="22">
        <f>SUM(P8:P68)</f>
        <v>56850</v>
      </c>
    </row>
    <row r="70" spans="2:18" ht="15.75">
      <c r="D70" s="66"/>
      <c r="K70" s="22"/>
      <c r="L70" s="22"/>
      <c r="M70" s="22"/>
      <c r="N70" s="22"/>
      <c r="P70" s="22"/>
    </row>
    <row r="71" spans="2:18" ht="15.75">
      <c r="D71" s="66"/>
      <c r="K71" s="22"/>
      <c r="L71" s="22"/>
      <c r="M71" s="22"/>
      <c r="N71" s="22"/>
      <c r="P71" s="22"/>
    </row>
    <row r="72" spans="2:18" ht="15.75">
      <c r="D72" s="66"/>
      <c r="K72" s="22"/>
      <c r="L72" s="22"/>
      <c r="M72" s="22"/>
      <c r="N72" s="22"/>
      <c r="P72" s="22"/>
    </row>
    <row r="73" spans="2:18" ht="15.75">
      <c r="D73" s="66"/>
      <c r="K73" s="22"/>
      <c r="L73" s="22"/>
      <c r="M73" s="22"/>
      <c r="N73" s="22"/>
      <c r="P73" s="22"/>
    </row>
    <row r="74" spans="2:18" ht="15.75">
      <c r="D74" s="66"/>
      <c r="K74" s="22"/>
      <c r="L74" s="22"/>
      <c r="M74" s="22"/>
      <c r="N74" s="22"/>
      <c r="P74" s="22"/>
    </row>
    <row r="75" spans="2:18" ht="15.75">
      <c r="D75" s="66"/>
      <c r="K75" s="22"/>
      <c r="L75" s="22"/>
      <c r="M75" s="22"/>
      <c r="N75" s="22"/>
      <c r="P75" s="22"/>
    </row>
    <row r="76" spans="2:18" ht="15.75">
      <c r="D76" s="66"/>
      <c r="K76" s="22"/>
      <c r="L76" s="22"/>
      <c r="M76" s="22"/>
      <c r="N76" s="22"/>
      <c r="P76" s="22"/>
    </row>
    <row r="77" spans="2:18" ht="15.75">
      <c r="D77" s="157"/>
      <c r="K77" s="22"/>
      <c r="L77" s="22"/>
      <c r="M77" s="22"/>
      <c r="N77" s="22"/>
      <c r="P77" s="22"/>
    </row>
    <row r="78" spans="2:18" ht="15.75">
      <c r="D78" s="66"/>
      <c r="K78" s="22"/>
      <c r="L78" s="22"/>
      <c r="M78" s="22"/>
      <c r="N78" s="22"/>
      <c r="P78" s="22"/>
    </row>
    <row r="79" spans="2:18" ht="15.75">
      <c r="D79" s="66"/>
      <c r="K79" s="22"/>
      <c r="L79" s="22"/>
      <c r="M79" s="22"/>
      <c r="N79" s="22"/>
      <c r="P79" s="22"/>
    </row>
    <row r="80" spans="2:18" ht="15.75">
      <c r="D80" s="66"/>
      <c r="K80" s="22"/>
      <c r="L80" s="22"/>
      <c r="M80" s="22"/>
      <c r="N80" s="22"/>
      <c r="P80" s="22"/>
    </row>
    <row r="81" spans="4:16" ht="15.75">
      <c r="D81" s="66"/>
      <c r="K81" s="22"/>
      <c r="L81" s="22"/>
      <c r="M81" s="22"/>
      <c r="N81" s="22"/>
      <c r="P81" s="22"/>
    </row>
    <row r="82" spans="4:16" ht="15.75">
      <c r="D82" s="66"/>
      <c r="K82" s="22"/>
      <c r="L82" s="22"/>
      <c r="M82" s="22"/>
      <c r="N82" s="22"/>
      <c r="P82" s="22"/>
    </row>
    <row r="83" spans="4:16" ht="15.75">
      <c r="D83" s="157"/>
      <c r="K83" s="22"/>
      <c r="L83" s="22"/>
      <c r="M83" s="22"/>
      <c r="N83" s="22"/>
      <c r="P83" s="22"/>
    </row>
    <row r="84" spans="4:16" ht="15.75">
      <c r="D84" s="66"/>
      <c r="K84" s="22"/>
      <c r="L84" s="22"/>
      <c r="M84" s="22"/>
      <c r="N84" s="22"/>
      <c r="P84" s="22"/>
    </row>
    <row r="85" spans="4:16" ht="15.75">
      <c r="D85" s="66"/>
      <c r="K85" s="22"/>
      <c r="L85" s="22"/>
      <c r="M85" s="22"/>
      <c r="N85" s="22"/>
      <c r="P85" s="22"/>
    </row>
    <row r="86" spans="4:16" ht="15.75">
      <c r="D86" s="66"/>
      <c r="K86" s="22"/>
      <c r="L86" s="22"/>
      <c r="M86" s="22"/>
      <c r="N86" s="22"/>
      <c r="P86" s="22"/>
    </row>
    <row r="87" spans="4:16" ht="15.75">
      <c r="D87" s="66"/>
      <c r="K87" s="22"/>
      <c r="L87" s="22"/>
      <c r="M87" s="22"/>
      <c r="N87" s="22"/>
      <c r="P87" s="22"/>
    </row>
    <row r="88" spans="4:16" ht="15.75">
      <c r="D88" s="66"/>
      <c r="K88" s="22"/>
      <c r="L88" s="22"/>
      <c r="M88" s="22"/>
      <c r="N88" s="22"/>
      <c r="P88" s="22"/>
    </row>
    <row r="89" spans="4:16" ht="15.75">
      <c r="D89" s="66"/>
      <c r="K89" s="22"/>
      <c r="L89" s="22"/>
      <c r="M89" s="22"/>
      <c r="N89" s="22"/>
      <c r="P89" s="22"/>
    </row>
    <row r="90" spans="4:16" ht="15.75">
      <c r="D90" s="66"/>
      <c r="K90" s="22"/>
      <c r="L90" s="22"/>
      <c r="M90" s="22"/>
      <c r="N90" s="22"/>
      <c r="P90" s="22"/>
    </row>
    <row r="91" spans="4:16" ht="15.75">
      <c r="D91" s="66"/>
      <c r="K91" s="22"/>
      <c r="L91" s="22"/>
      <c r="M91" s="22"/>
      <c r="N91" s="22"/>
      <c r="P91" s="22"/>
    </row>
    <row r="92" spans="4:16" ht="15.75">
      <c r="D92" s="66"/>
      <c r="K92" s="22"/>
      <c r="L92" s="22"/>
      <c r="M92" s="22"/>
      <c r="N92" s="22"/>
      <c r="P92" s="22"/>
    </row>
    <row r="93" spans="4:16" ht="15.75">
      <c r="D93" s="66"/>
      <c r="K93" s="22"/>
      <c r="L93" s="22"/>
      <c r="M93" s="22"/>
      <c r="N93" s="22"/>
      <c r="P93" s="22"/>
    </row>
    <row r="94" spans="4:16" ht="15.75">
      <c r="D94" s="66"/>
      <c r="K94" s="22"/>
      <c r="L94" s="22"/>
      <c r="M94" s="22"/>
      <c r="N94" s="22"/>
      <c r="P94" s="22"/>
    </row>
    <row r="95" spans="4:16">
      <c r="K95" s="22"/>
      <c r="L95" s="22"/>
      <c r="M95" s="22"/>
      <c r="N95" s="22"/>
      <c r="P95" s="22"/>
    </row>
    <row r="96" spans="4:16">
      <c r="K96" s="22"/>
      <c r="L96" s="22"/>
      <c r="M96" s="22"/>
      <c r="N96" s="22"/>
      <c r="P96" s="22"/>
    </row>
    <row r="97" spans="2:16">
      <c r="K97" s="22"/>
      <c r="L97" s="22"/>
      <c r="M97" s="22"/>
      <c r="N97" s="22"/>
      <c r="P97" s="22"/>
    </row>
    <row r="98" spans="2:16">
      <c r="K98" s="22"/>
      <c r="L98" s="22"/>
      <c r="M98" s="22"/>
      <c r="N98" s="22"/>
      <c r="P98" s="22"/>
    </row>
    <row r="99" spans="2:16">
      <c r="K99" s="22"/>
      <c r="L99" s="22"/>
      <c r="M99" s="22"/>
      <c r="N99" s="22"/>
      <c r="P99" s="22"/>
    </row>
    <row r="100" spans="2:16">
      <c r="K100" s="22"/>
      <c r="L100" s="22"/>
      <c r="M100" s="22"/>
      <c r="N100" s="22"/>
      <c r="P100" s="22"/>
    </row>
    <row r="101" spans="2:16">
      <c r="K101" s="22"/>
      <c r="L101" s="22"/>
      <c r="M101" s="22"/>
      <c r="N101" s="22"/>
      <c r="P101" s="22"/>
    </row>
    <row r="103" spans="2:16">
      <c r="M103" s="12"/>
      <c r="N103" s="12"/>
    </row>
    <row r="104" spans="2:16">
      <c r="B104" s="23"/>
      <c r="C104" s="24"/>
    </row>
    <row r="105" spans="2:16">
      <c r="B105" s="23"/>
      <c r="C105" s="24"/>
    </row>
    <row r="106" spans="2:16">
      <c r="B106" s="23"/>
      <c r="C106" s="24"/>
    </row>
    <row r="107" spans="2:16">
      <c r="B107" s="23"/>
      <c r="C107" s="24"/>
    </row>
    <row r="108" spans="2:16" ht="25.5">
      <c r="B108" s="134" t="s">
        <v>130</v>
      </c>
      <c r="C108" s="133" t="s">
        <v>2</v>
      </c>
      <c r="D108" s="132" t="s">
        <v>3</v>
      </c>
      <c r="E108" s="132" t="s">
        <v>4</v>
      </c>
      <c r="F108" s="106" t="s">
        <v>119</v>
      </c>
      <c r="H108" s="132" t="s">
        <v>120</v>
      </c>
      <c r="I108" s="107" t="s">
        <v>121</v>
      </c>
    </row>
    <row r="109" spans="2:16">
      <c r="B109" s="23" t="s">
        <v>122</v>
      </c>
      <c r="C109" s="135">
        <f>COUNTIF($H$8:$H$68,"In Process")</f>
        <v>0</v>
      </c>
      <c r="D109" s="138">
        <f>SUMIF($H$8:$H$68,"In Process",K$8:K$68)</f>
        <v>0</v>
      </c>
      <c r="E109" s="138">
        <f>SUMIF($H$8:$H$68,"In Process",L$8:L$68)</f>
        <v>0</v>
      </c>
      <c r="F109" s="138">
        <f>SUMIF($H$8:$H$68,"In Process",M$8:M$68)</f>
        <v>0</v>
      </c>
      <c r="H109" s="138">
        <f>SUMIF($H$8:$H$68,"In Process",N$8:N$68)</f>
        <v>0</v>
      </c>
      <c r="I109" s="138">
        <f>SUMIF($H$8:$H$68,"In Process",P$8:P$68)</f>
        <v>0</v>
      </c>
    </row>
    <row r="110" spans="2:16">
      <c r="B110" s="23" t="s">
        <v>123</v>
      </c>
      <c r="C110" s="135">
        <f>COUNTIF($H$8:$H$68,"Delayed")</f>
        <v>0</v>
      </c>
      <c r="D110" s="138">
        <f>SUMIF($H$8:$H$68,"Delayed",K$8:K$68)</f>
        <v>0</v>
      </c>
      <c r="E110" s="138">
        <f>SUMIF($H$8:$H$68,"Delayed",L$8:L$68)</f>
        <v>0</v>
      </c>
      <c r="F110" s="138">
        <f>SUMIF($H$8:$H$68,"Delayed",M$8:M$68)</f>
        <v>0</v>
      </c>
      <c r="H110" s="138">
        <f>SUMIF($H$8:$H$68,"Delayed",N$8:N$68)</f>
        <v>0</v>
      </c>
      <c r="I110" s="138">
        <f>SUMIF($H$8:$H$68,"Delayed",P$8:P$68)</f>
        <v>0</v>
      </c>
    </row>
    <row r="111" spans="2:16">
      <c r="B111" s="23" t="s">
        <v>124</v>
      </c>
      <c r="C111" s="135">
        <f>COUNTIF($H$8:$H$68,"Pending")</f>
        <v>0</v>
      </c>
      <c r="D111" s="138">
        <f>SUMIF($H$8:$H$68,"Pending",K$8:K$68)</f>
        <v>0</v>
      </c>
      <c r="E111" s="138">
        <f>SUMIF($H$8:$H$68,"Pending",L$8:L$68)</f>
        <v>0</v>
      </c>
      <c r="F111" s="138">
        <f>SUMIF($H$8:$H$68,"Pending",M$8:M$68)</f>
        <v>0</v>
      </c>
      <c r="H111" s="138">
        <f>SUMIF($H$8:$H$68,"Pending",N$8:N$68)</f>
        <v>0</v>
      </c>
      <c r="I111" s="138">
        <f>SUMIF($H$8:$H$68,"Pending",P$8:P$68)</f>
        <v>0</v>
      </c>
    </row>
    <row r="112" spans="2:16">
      <c r="B112" s="23" t="s">
        <v>125</v>
      </c>
      <c r="C112" s="135">
        <f>COUNTIF($H$8:$H$68,"No Contract")</f>
        <v>0</v>
      </c>
      <c r="D112" s="138">
        <f>SUMIF($H$8:$H$68,"No Contract",K$8:K$68)</f>
        <v>0</v>
      </c>
      <c r="E112" s="138">
        <f>SUMIF($H$8:$H$68,"No Contract",L$8:L$68)</f>
        <v>0</v>
      </c>
      <c r="F112" s="138">
        <f>SUMIF($H$8:$H$68,"No Contract",M$8:M$68)</f>
        <v>0</v>
      </c>
      <c r="H112" s="138">
        <f>SUMIF($H$8:$H$68,"No Contract",N$8:N$68)</f>
        <v>0</v>
      </c>
      <c r="I112" s="138">
        <f>SUMIF($H$8:$H$68,"No Contract",P$8:P$68)</f>
        <v>0</v>
      </c>
    </row>
    <row r="113" spans="2:9">
      <c r="B113" s="23" t="s">
        <v>126</v>
      </c>
      <c r="C113" s="136">
        <f>COUNTIF($H$8:$H$68,"Litigation")</f>
        <v>0</v>
      </c>
      <c r="D113" s="139">
        <f>SUMIF($H$8:$H$68,"Litigation",K$8:K$68)</f>
        <v>0</v>
      </c>
      <c r="E113" s="139">
        <f>SUMIF($H$8:$H$68,"Litigation",L$8:L$68)</f>
        <v>0</v>
      </c>
      <c r="F113" s="139">
        <f>SUMIF($H$8:$H$68,"Litigation",M$8:M$68)</f>
        <v>0</v>
      </c>
      <c r="H113" s="139">
        <f>SUMIF($H$8:$H$68,"Litigation",N$8:N$68)</f>
        <v>0</v>
      </c>
      <c r="I113" s="139">
        <f>SUMIF($H$8:$H$68,"Litigation",P$8:P$68)</f>
        <v>0</v>
      </c>
    </row>
    <row r="114" spans="2:9">
      <c r="B114" s="23" t="s">
        <v>127</v>
      </c>
      <c r="C114" s="135">
        <f>SUM(C109:C113)</f>
        <v>0</v>
      </c>
      <c r="D114" s="140">
        <f t="shared" ref="D114:E114" si="3">SUM(D109:D113)</f>
        <v>0</v>
      </c>
      <c r="E114" s="140">
        <f t="shared" si="3"/>
        <v>0</v>
      </c>
      <c r="F114" s="140">
        <f>SUM(F109:F113)</f>
        <v>0</v>
      </c>
      <c r="H114" s="140">
        <f t="shared" ref="H114" si="4">SUM(H109:H113)</f>
        <v>0</v>
      </c>
      <c r="I114" s="140">
        <f>SUM(I109:I113)</f>
        <v>0</v>
      </c>
    </row>
    <row r="115" spans="2:9">
      <c r="C115" s="135"/>
      <c r="F115" s="23"/>
    </row>
    <row r="116" spans="2:9">
      <c r="B116" s="23" t="s">
        <v>128</v>
      </c>
      <c r="C116" s="137">
        <f>COUNTIF(H8:H68,"Completed")</f>
        <v>34</v>
      </c>
      <c r="D116" s="141">
        <f>SUMIF($H$8:$H$68,"Completed",K$8:K$68)</f>
        <v>199047.5</v>
      </c>
      <c r="E116" s="141">
        <f>SUMIF($H$8:$H$68,"Completed",L$8:L$68)</f>
        <v>142197.5</v>
      </c>
      <c r="F116" s="141">
        <f>SUMIF($H$8:$H$68,"Completed",M$8:M$68)</f>
        <v>42995.5</v>
      </c>
      <c r="H116" s="141">
        <f>SUMIF($H$8:$H$68,"Completed",N$8:N$68)</f>
        <v>108202</v>
      </c>
      <c r="I116" s="141">
        <f>SUMIF($H$8:$H$68,"Completed",P$8:P$68)</f>
        <v>56850</v>
      </c>
    </row>
    <row r="117" spans="2:9">
      <c r="B117" s="23" t="s">
        <v>129</v>
      </c>
      <c r="C117" s="135">
        <f>C114+C116</f>
        <v>34</v>
      </c>
      <c r="D117" s="142">
        <f t="shared" ref="D117:E117" si="5">D114+D116</f>
        <v>199047.5</v>
      </c>
      <c r="E117" s="142">
        <f t="shared" si="5"/>
        <v>142197.5</v>
      </c>
      <c r="F117" s="142">
        <f>F114+F116</f>
        <v>42995.5</v>
      </c>
      <c r="H117" s="142">
        <f t="shared" ref="H117" si="6">H114+H116</f>
        <v>108202</v>
      </c>
      <c r="I117" s="142">
        <f>I114+I116</f>
        <v>56850</v>
      </c>
    </row>
    <row r="118" spans="2:9" ht="15.75">
      <c r="D118" s="25"/>
      <c r="H118" s="25"/>
    </row>
    <row r="119" spans="2:9">
      <c r="D119" s="23"/>
      <c r="H119" s="23"/>
    </row>
    <row r="120" spans="2:9">
      <c r="D120" s="23"/>
      <c r="H120" s="23"/>
      <c r="I120" s="24"/>
    </row>
    <row r="121" spans="2:9">
      <c r="D121" s="23"/>
      <c r="H121" s="23"/>
      <c r="I121" s="24"/>
    </row>
    <row r="122" spans="2:9">
      <c r="D122" s="23"/>
      <c r="H122" s="23"/>
      <c r="I122" s="24"/>
    </row>
    <row r="123" spans="2:9">
      <c r="D123" s="23"/>
      <c r="H123" s="23"/>
    </row>
  </sheetData>
  <autoFilter ref="A7:AE68" xr:uid="{078B6ACD-F52F-43CD-874E-B09F096439F0}">
    <sortState xmlns:xlrd2="http://schemas.microsoft.com/office/spreadsheetml/2017/richdata2" ref="A8:AE68">
      <sortCondition ref="H7:H68"/>
    </sortState>
  </autoFilter>
  <mergeCells count="8">
    <mergeCell ref="Q5:Q6"/>
    <mergeCell ref="R5:R6"/>
    <mergeCell ref="M6:N6"/>
    <mergeCell ref="C2:E2"/>
    <mergeCell ref="B3:P3"/>
    <mergeCell ref="B5:F6"/>
    <mergeCell ref="H5:I6"/>
    <mergeCell ref="K5:P5"/>
  </mergeCells>
  <conditionalFormatting sqref="D118">
    <cfRule type="cellIs" dxfId="5" priority="1" operator="equal">
      <formula>"Completed"</formula>
    </cfRule>
    <cfRule type="cellIs" dxfId="4" priority="2" operator="equal">
      <formula>"In Process"</formula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08 H8:H68">
    <cfRule type="cellIs" dxfId="3" priority="10" operator="equal">
      <formula>"Completed"</formula>
    </cfRule>
    <cfRule type="cellIs" dxfId="2" priority="11" operator="equal">
      <formula>"In Process"</formula>
    </cfRule>
  </conditionalFormatting>
  <conditionalFormatting sqref="H62:H63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64:H68 B108 H8:H61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18">
    <cfRule type="cellIs" dxfId="1" priority="7" operator="equal">
      <formula>"Completed"</formula>
    </cfRule>
    <cfRule type="cellIs" dxfId="0" priority="8" operator="equal">
      <formula>"In Process"</formula>
    </cfRule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3">
    <dataValidation type="list" allowBlank="1" showInputMessage="1" showErrorMessage="1" sqref="H62:H63" xr:uid="{61DE24E7-4365-4F3C-BBE7-8460512F145E}">
      <formula1>$AB$48:$AB$57</formula1>
    </dataValidation>
    <dataValidation type="list" allowBlank="1" showInputMessage="1" showErrorMessage="1" sqref="H64:H68 H8:H61" xr:uid="{C162DB61-42AE-4C8C-859F-455B484BD8BC}">
      <formula1>$AA$44:$AA$52</formula1>
    </dataValidation>
    <dataValidation type="list" allowBlank="1" showInputMessage="1" showErrorMessage="1" sqref="D8:D9 D11:D94" xr:uid="{5A8D374C-0642-44B2-A663-A5AFBEA20440}">
      <formula1>$W$20:$W$27</formula1>
    </dataValidation>
  </dataValidations>
  <pageMargins left="0.25" right="0.25" top="0.75" bottom="0.75" header="0.3" footer="0.3"/>
  <pageSetup paperSize="3" scale="69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edb189a-3d00-41b9-919a-38e95280aca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5DA043051F2A4F810903CA51508318" ma:contentTypeVersion="6" ma:contentTypeDescription="Create a new document." ma:contentTypeScope="" ma:versionID="53d9e3ee72b9821b7db320ba402ba100">
  <xsd:schema xmlns:xsd="http://www.w3.org/2001/XMLSchema" xmlns:xs="http://www.w3.org/2001/XMLSchema" xmlns:p="http://schemas.microsoft.com/office/2006/metadata/properties" xmlns:ns3="aedb189a-3d00-41b9-919a-38e95280acaf" targetNamespace="http://schemas.microsoft.com/office/2006/metadata/properties" ma:root="true" ma:fieldsID="369485b69431dd50377e356cf8d9cdc2" ns3:_="">
    <xsd:import namespace="aedb189a-3d00-41b9-919a-38e95280aca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db189a-3d00-41b9-919a-38e95280aca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902ECE4-4143-4AB5-8EB1-484503390C60}"/>
</file>

<file path=customXml/itemProps2.xml><?xml version="1.0" encoding="utf-8"?>
<ds:datastoreItem xmlns:ds="http://schemas.openxmlformats.org/officeDocument/2006/customXml" ds:itemID="{70688A44-E2FC-4192-AAEB-46145AC69C2E}"/>
</file>

<file path=customXml/itemProps3.xml><?xml version="1.0" encoding="utf-8"?>
<ds:datastoreItem xmlns:ds="http://schemas.openxmlformats.org/officeDocument/2006/customXml" ds:itemID="{B872A350-8EFF-48F2-9A4F-0CF9C57B63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Elias Justiniano</dc:creator>
  <cp:keywords/>
  <dc:description/>
  <cp:lastModifiedBy/>
  <cp:revision/>
  <dcterms:created xsi:type="dcterms:W3CDTF">2024-08-07T13:51:50Z</dcterms:created>
  <dcterms:modified xsi:type="dcterms:W3CDTF">2026-02-05T05:17:55Z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0x010100B95DA043051F2A4F810903CA51508318</vt:lpwstr>
  </property>
</Properties>
</file>